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defaultThemeVersion="166925"/>
  <mc:AlternateContent xmlns:mc="http://schemas.openxmlformats.org/markup-compatibility/2006">
    <mc:Choice Requires="x15">
      <x15ac:absPath xmlns:x15ac="http://schemas.microsoft.com/office/spreadsheetml/2010/11/ac" url="C:\Users\Dofrin\Desktop\Data analyst\"/>
    </mc:Choice>
  </mc:AlternateContent>
  <xr:revisionPtr revIDLastSave="0" documentId="13_ncr:1_{6CFC2E8A-8FD5-41F6-A3F5-7ECA056FDF8A}" xr6:coauthVersionLast="47" xr6:coauthVersionMax="47" xr10:uidLastSave="{00000000-0000-0000-0000-000000000000}"/>
  <bookViews>
    <workbookView xWindow="-120" yWindow="-120" windowWidth="20730" windowHeight="11160" firstSheet="1" activeTab="4" xr2:uid="{00000000-000D-0000-FFFF-FFFF00000000}"/>
  </bookViews>
  <sheets>
    <sheet name="superstore_sales_dataset1" sheetId="1" r:id="rId1"/>
    <sheet name="cleaned dataset" sheetId="2" r:id="rId2"/>
    <sheet name="PIVOT TABLE" sheetId="15" r:id="rId3"/>
    <sheet name="KPIs Calculation" sheetId="4" r:id="rId4"/>
    <sheet name="superstore_sales_DASHBOARD" sheetId="18" r:id="rId5"/>
  </sheets>
  <definedNames>
    <definedName name="Slicer_Category">#N/A</definedName>
    <definedName name="Slicer_Customer_Segment">#N/A</definedName>
    <definedName name="Slicer_Region">#N/A</definedName>
    <definedName name="Slicer_YEAR">#N/A</definedName>
  </definedNames>
  <calcPr calcId="181029"/>
  <pivotCaches>
    <pivotCache cacheId="3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Q2" i="2"/>
  <c r="R2" i="2" s="1"/>
  <c r="Q3" i="2"/>
  <c r="R3" i="2" s="1"/>
  <c r="Q4" i="2"/>
  <c r="R4" i="2" s="1"/>
  <c r="Q5" i="2"/>
  <c r="R5" i="2" s="1"/>
  <c r="Q6" i="2"/>
  <c r="R6" i="2" s="1"/>
  <c r="Q7" i="2"/>
  <c r="R7" i="2" s="1"/>
  <c r="Q8" i="2"/>
  <c r="R8" i="2" s="1"/>
  <c r="Q9" i="2"/>
  <c r="R9" i="2" s="1"/>
  <c r="Q10" i="2"/>
  <c r="R10" i="2" s="1"/>
  <c r="Q11" i="2"/>
  <c r="R11" i="2" s="1"/>
  <c r="Q12" i="2"/>
  <c r="R12" i="2" s="1"/>
  <c r="Q13" i="2"/>
  <c r="R13" i="2" s="1"/>
  <c r="Q14" i="2"/>
  <c r="R14" i="2" s="1"/>
  <c r="Q15" i="2"/>
  <c r="R15" i="2" s="1"/>
  <c r="Q16" i="2"/>
  <c r="R16" i="2" s="1"/>
  <c r="Q17" i="2"/>
  <c r="R17" i="2" s="1"/>
  <c r="Q18" i="2"/>
  <c r="R18" i="2" s="1"/>
  <c r="Q19" i="2"/>
  <c r="R19" i="2" s="1"/>
  <c r="Q20" i="2"/>
  <c r="R20" i="2" s="1"/>
  <c r="Q21" i="2"/>
  <c r="R21" i="2" s="1"/>
  <c r="Q22" i="2"/>
  <c r="R22" i="2" s="1"/>
  <c r="Q23" i="2"/>
  <c r="R23" i="2" s="1"/>
  <c r="Q24" i="2"/>
  <c r="R24" i="2" s="1"/>
  <c r="Q25" i="2"/>
  <c r="R25" i="2" s="1"/>
  <c r="Q26" i="2"/>
  <c r="R26" i="2" s="1"/>
  <c r="Q27" i="2"/>
  <c r="R27" i="2" s="1"/>
  <c r="Q28" i="2"/>
  <c r="R28" i="2" s="1"/>
  <c r="Q29" i="2"/>
  <c r="R29" i="2" s="1"/>
  <c r="Q30" i="2"/>
  <c r="R30" i="2" s="1"/>
  <c r="Q31" i="2"/>
  <c r="R31" i="2" s="1"/>
  <c r="Q32" i="2"/>
  <c r="R32" i="2" s="1"/>
  <c r="Q33" i="2"/>
  <c r="R33" i="2" s="1"/>
  <c r="Q34" i="2"/>
  <c r="R34" i="2" s="1"/>
  <c r="Q35" i="2"/>
  <c r="R35" i="2" s="1"/>
  <c r="Q36" i="2"/>
  <c r="R36" i="2" s="1"/>
  <c r="Q37" i="2"/>
  <c r="R37" i="2" s="1"/>
  <c r="Q38" i="2"/>
  <c r="R38" i="2" s="1"/>
  <c r="Q39" i="2"/>
  <c r="R39" i="2" s="1"/>
  <c r="Q40" i="2"/>
  <c r="R40" i="2" s="1"/>
  <c r="Q41" i="2"/>
  <c r="R41" i="2" s="1"/>
  <c r="Q42" i="2"/>
  <c r="R42" i="2" s="1"/>
  <c r="Q43" i="2"/>
  <c r="R43" i="2" s="1"/>
  <c r="Q44" i="2"/>
  <c r="R44" i="2" s="1"/>
  <c r="Q45" i="2"/>
  <c r="R45" i="2" s="1"/>
  <c r="Q46" i="2"/>
  <c r="R46" i="2" s="1"/>
  <c r="Q47" i="2"/>
  <c r="R47" i="2" s="1"/>
  <c r="Q48" i="2"/>
  <c r="R48" i="2" s="1"/>
  <c r="Q49" i="2"/>
  <c r="R49" i="2" s="1"/>
  <c r="Q50" i="2"/>
  <c r="R50" i="2" s="1"/>
  <c r="Q51" i="2"/>
  <c r="R51" i="2" s="1"/>
  <c r="Q52" i="2"/>
  <c r="R52" i="2" s="1"/>
  <c r="Q53" i="2"/>
  <c r="R53" i="2" s="1"/>
  <c r="Q54" i="2"/>
  <c r="R54" i="2" s="1"/>
  <c r="Q55" i="2"/>
  <c r="R55" i="2" s="1"/>
  <c r="Q56" i="2"/>
  <c r="R56" i="2" s="1"/>
  <c r="Q57" i="2"/>
  <c r="R57" i="2" s="1"/>
  <c r="Q58" i="2"/>
  <c r="R58" i="2" s="1"/>
  <c r="Q59" i="2"/>
  <c r="R59" i="2" s="1"/>
  <c r="Q60" i="2"/>
  <c r="R60" i="2" s="1"/>
  <c r="Q61" i="2"/>
  <c r="R61" i="2" s="1"/>
  <c r="Q62" i="2"/>
  <c r="R62" i="2" s="1"/>
  <c r="Q63" i="2"/>
  <c r="R63" i="2" s="1"/>
  <c r="Q64" i="2"/>
  <c r="R64" i="2" s="1"/>
  <c r="Q65" i="2"/>
  <c r="R65" i="2" s="1"/>
  <c r="Q66" i="2"/>
  <c r="R66" i="2" s="1"/>
  <c r="Q67" i="2"/>
  <c r="R67" i="2" s="1"/>
  <c r="Q68" i="2"/>
  <c r="R68" i="2" s="1"/>
  <c r="Q69" i="2"/>
  <c r="R69" i="2" s="1"/>
  <c r="Q70" i="2"/>
  <c r="R70" i="2" s="1"/>
  <c r="Q71" i="2"/>
  <c r="R71" i="2" s="1"/>
  <c r="Q72" i="2"/>
  <c r="R72" i="2" s="1"/>
  <c r="Q73" i="2"/>
  <c r="R73" i="2" s="1"/>
  <c r="Q74" i="2"/>
  <c r="R74" i="2" s="1"/>
  <c r="Q75" i="2"/>
  <c r="R75" i="2" s="1"/>
  <c r="Q76" i="2"/>
  <c r="R76" i="2" s="1"/>
  <c r="Q77" i="2"/>
  <c r="R77" i="2" s="1"/>
  <c r="Q78" i="2"/>
  <c r="R78" i="2" s="1"/>
  <c r="Q79" i="2"/>
  <c r="R79" i="2" s="1"/>
  <c r="Q80" i="2"/>
  <c r="R80" i="2" s="1"/>
  <c r="Q81" i="2"/>
  <c r="R81" i="2" s="1"/>
  <c r="Q82" i="2"/>
  <c r="R82" i="2" s="1"/>
  <c r="Q83" i="2"/>
  <c r="R83" i="2" s="1"/>
  <c r="Q84" i="2"/>
  <c r="R84" i="2" s="1"/>
  <c r="Q85" i="2"/>
  <c r="R85" i="2" s="1"/>
  <c r="Q86" i="2"/>
  <c r="R86" i="2" s="1"/>
  <c r="Q87" i="2"/>
  <c r="R87" i="2" s="1"/>
  <c r="Q88" i="2"/>
  <c r="R88" i="2" s="1"/>
  <c r="Q89" i="2"/>
  <c r="R89" i="2" s="1"/>
  <c r="Q90" i="2"/>
  <c r="R90" i="2" s="1"/>
  <c r="Q91" i="2"/>
  <c r="R91" i="2" s="1"/>
  <c r="Q92" i="2"/>
  <c r="R92" i="2" s="1"/>
  <c r="Q93" i="2"/>
  <c r="R93" i="2" s="1"/>
  <c r="Q94" i="2"/>
  <c r="R94" i="2" s="1"/>
  <c r="Q95" i="2"/>
  <c r="R95" i="2" s="1"/>
  <c r="Q96" i="2"/>
  <c r="R96" i="2" s="1"/>
  <c r="Q97" i="2"/>
  <c r="R97" i="2" s="1"/>
  <c r="Q98" i="2"/>
  <c r="R98" i="2" s="1"/>
  <c r="Q99" i="2"/>
  <c r="R99" i="2" s="1"/>
  <c r="Q100" i="2"/>
  <c r="R100" i="2" s="1"/>
  <c r="Q101" i="2"/>
  <c r="R101" i="2" s="1"/>
  <c r="Q102" i="2"/>
  <c r="R102" i="2" s="1"/>
  <c r="Q103" i="2"/>
  <c r="R103" i="2" s="1"/>
  <c r="Q104" i="2"/>
  <c r="R104" i="2" s="1"/>
  <c r="Q105" i="2"/>
  <c r="R105" i="2" s="1"/>
  <c r="Q106" i="2"/>
  <c r="R106" i="2" s="1"/>
  <c r="Q107" i="2"/>
  <c r="R107" i="2" s="1"/>
  <c r="Q108" i="2"/>
  <c r="R108" i="2" s="1"/>
  <c r="Q109" i="2"/>
  <c r="R109" i="2" s="1"/>
  <c r="Q110" i="2"/>
  <c r="R110" i="2" s="1"/>
  <c r="Q111" i="2"/>
  <c r="R111" i="2" s="1"/>
  <c r="Q112" i="2"/>
  <c r="R112" i="2" s="1"/>
  <c r="Q113" i="2"/>
  <c r="R113" i="2" s="1"/>
  <c r="Q114" i="2"/>
  <c r="R114" i="2" s="1"/>
  <c r="Q115" i="2"/>
  <c r="R115" i="2" s="1"/>
  <c r="Q116" i="2"/>
  <c r="R116" i="2" s="1"/>
  <c r="Q117" i="2"/>
  <c r="R117" i="2" s="1"/>
  <c r="Q118" i="2"/>
  <c r="R118" i="2" s="1"/>
  <c r="Q119" i="2"/>
  <c r="R119" i="2" s="1"/>
  <c r="Q120" i="2"/>
  <c r="R120" i="2" s="1"/>
  <c r="Q121" i="2"/>
  <c r="R121" i="2" s="1"/>
  <c r="Q122" i="2"/>
  <c r="R122" i="2" s="1"/>
  <c r="Q123" i="2"/>
  <c r="R123" i="2" s="1"/>
  <c r="Q124" i="2"/>
  <c r="R124" i="2" s="1"/>
  <c r="Q125" i="2"/>
  <c r="R125" i="2" s="1"/>
  <c r="Q126" i="2"/>
  <c r="R126" i="2" s="1"/>
  <c r="Q127" i="2"/>
  <c r="R127" i="2" s="1"/>
  <c r="Q128" i="2"/>
  <c r="R128" i="2" s="1"/>
  <c r="Q129" i="2"/>
  <c r="R129" i="2" s="1"/>
  <c r="Q130" i="2"/>
  <c r="R130" i="2" s="1"/>
  <c r="Q131" i="2"/>
  <c r="R131" i="2" s="1"/>
  <c r="Q132" i="2"/>
  <c r="R132" i="2" s="1"/>
  <c r="Q133" i="2"/>
  <c r="R133" i="2" s="1"/>
  <c r="Q134" i="2"/>
  <c r="R134" i="2" s="1"/>
  <c r="Q135" i="2"/>
  <c r="R135" i="2" s="1"/>
  <c r="Q136" i="2"/>
  <c r="R136" i="2" s="1"/>
  <c r="Q137" i="2"/>
  <c r="R137" i="2" s="1"/>
  <c r="Q138" i="2"/>
  <c r="R138" i="2" s="1"/>
  <c r="Q139" i="2"/>
  <c r="R139" i="2" s="1"/>
  <c r="Q140" i="2"/>
  <c r="R140" i="2" s="1"/>
  <c r="Q141" i="2"/>
  <c r="R141" i="2" s="1"/>
  <c r="Q142" i="2"/>
  <c r="R142" i="2" s="1"/>
  <c r="Q143" i="2"/>
  <c r="R143" i="2" s="1"/>
  <c r="Q144" i="2"/>
  <c r="R144" i="2" s="1"/>
  <c r="Q145" i="2"/>
  <c r="R145" i="2" s="1"/>
  <c r="Q146" i="2"/>
  <c r="R146" i="2" s="1"/>
  <c r="Q147" i="2"/>
  <c r="R147" i="2" s="1"/>
  <c r="Q148" i="2"/>
  <c r="R148" i="2" s="1"/>
  <c r="Q149" i="2"/>
  <c r="R149" i="2" s="1"/>
  <c r="Q150" i="2"/>
  <c r="R150" i="2" s="1"/>
  <c r="Q151" i="2"/>
  <c r="R151" i="2" s="1"/>
  <c r="Q152" i="2"/>
  <c r="R152" i="2" s="1"/>
  <c r="Q153" i="2"/>
  <c r="R153" i="2" s="1"/>
  <c r="Q154" i="2"/>
  <c r="R154" i="2" s="1"/>
  <c r="Q155" i="2"/>
  <c r="R155" i="2" s="1"/>
  <c r="Q156" i="2"/>
  <c r="R156" i="2" s="1"/>
  <c r="Q157" i="2"/>
  <c r="R157" i="2" s="1"/>
  <c r="Q158" i="2"/>
  <c r="R158" i="2" s="1"/>
  <c r="Q159" i="2"/>
  <c r="R159" i="2" s="1"/>
  <c r="Q160" i="2"/>
  <c r="R160" i="2" s="1"/>
  <c r="Q161" i="2"/>
  <c r="R161" i="2" s="1"/>
  <c r="Q162" i="2"/>
  <c r="R162" i="2" s="1"/>
  <c r="Q163" i="2"/>
  <c r="R163" i="2" s="1"/>
  <c r="Q164" i="2"/>
  <c r="R164" i="2" s="1"/>
  <c r="Q165" i="2"/>
  <c r="R165" i="2" s="1"/>
  <c r="Q166" i="2"/>
  <c r="R166" i="2" s="1"/>
  <c r="Q167" i="2"/>
  <c r="R167" i="2" s="1"/>
  <c r="Q168" i="2"/>
  <c r="R168" i="2" s="1"/>
  <c r="Q169" i="2"/>
  <c r="R169" i="2" s="1"/>
  <c r="Q170" i="2"/>
  <c r="R170" i="2" s="1"/>
  <c r="Q171" i="2"/>
  <c r="R171" i="2" s="1"/>
  <c r="Q172" i="2"/>
  <c r="R172" i="2" s="1"/>
  <c r="Q173" i="2"/>
  <c r="R173" i="2" s="1"/>
  <c r="Q174" i="2"/>
  <c r="R174" i="2" s="1"/>
  <c r="Q175" i="2"/>
  <c r="R175" i="2" s="1"/>
  <c r="Q176" i="2"/>
  <c r="R176" i="2" s="1"/>
  <c r="Q177" i="2"/>
  <c r="R177" i="2" s="1"/>
  <c r="Q178" i="2"/>
  <c r="R178" i="2" s="1"/>
  <c r="Q179" i="2"/>
  <c r="R179" i="2" s="1"/>
  <c r="Q180" i="2"/>
  <c r="R180" i="2" s="1"/>
  <c r="Q181" i="2"/>
  <c r="R181" i="2" s="1"/>
  <c r="Q182" i="2"/>
  <c r="R182" i="2" s="1"/>
  <c r="Q183" i="2"/>
  <c r="R183" i="2" s="1"/>
  <c r="Q184" i="2"/>
  <c r="R184" i="2" s="1"/>
  <c r="Q185" i="2"/>
  <c r="R185" i="2" s="1"/>
  <c r="Q186" i="2"/>
  <c r="R186" i="2" s="1"/>
  <c r="Q187" i="2"/>
  <c r="R187" i="2" s="1"/>
  <c r="Q188" i="2"/>
  <c r="R188" i="2" s="1"/>
  <c r="Q189" i="2"/>
  <c r="R189" i="2" s="1"/>
  <c r="Q190" i="2"/>
  <c r="R190" i="2" s="1"/>
  <c r="Q191" i="2"/>
  <c r="R191" i="2" s="1"/>
  <c r="Q192" i="2"/>
  <c r="R192" i="2" s="1"/>
  <c r="Q193" i="2"/>
  <c r="R193" i="2" s="1"/>
  <c r="Q194" i="2"/>
  <c r="R194" i="2" s="1"/>
  <c r="Q195" i="2"/>
  <c r="R195" i="2" s="1"/>
  <c r="Q196" i="2"/>
  <c r="R196" i="2" s="1"/>
  <c r="Q197" i="2"/>
  <c r="R197" i="2" s="1"/>
  <c r="Q198" i="2"/>
  <c r="R198" i="2" s="1"/>
  <c r="Q199" i="2"/>
  <c r="R199" i="2" s="1"/>
  <c r="Q200" i="2"/>
  <c r="R200" i="2" s="1"/>
  <c r="Q201" i="2"/>
  <c r="R201" i="2" s="1"/>
  <c r="Q202" i="2"/>
  <c r="R202" i="2" s="1"/>
  <c r="Q203" i="2"/>
  <c r="R203" i="2" s="1"/>
  <c r="Q204" i="2"/>
  <c r="R204" i="2" s="1"/>
  <c r="Q205" i="2"/>
  <c r="R205" i="2" s="1"/>
  <c r="Q206" i="2"/>
  <c r="R206" i="2" s="1"/>
  <c r="Q207" i="2"/>
  <c r="R207" i="2" s="1"/>
  <c r="Q208" i="2"/>
  <c r="R208" i="2" s="1"/>
  <c r="Q209" i="2"/>
  <c r="R209" i="2" s="1"/>
  <c r="Q210" i="2"/>
  <c r="R210" i="2" s="1"/>
  <c r="Q211" i="2"/>
  <c r="R211" i="2" s="1"/>
  <c r="Q212" i="2"/>
  <c r="R212" i="2" s="1"/>
  <c r="Q213" i="2"/>
  <c r="R213" i="2" s="1"/>
  <c r="Q214" i="2"/>
  <c r="R214" i="2" s="1"/>
  <c r="Q215" i="2"/>
  <c r="R215" i="2" s="1"/>
  <c r="Q216" i="2"/>
  <c r="R216" i="2" s="1"/>
  <c r="Q217" i="2"/>
  <c r="R217" i="2" s="1"/>
  <c r="Q218" i="2"/>
  <c r="R218" i="2" s="1"/>
  <c r="Q219" i="2"/>
  <c r="R219" i="2" s="1"/>
  <c r="Q220" i="2"/>
  <c r="R220" i="2" s="1"/>
  <c r="Q221" i="2"/>
  <c r="R221" i="2" s="1"/>
  <c r="Q222" i="2"/>
  <c r="R222" i="2" s="1"/>
  <c r="Q223" i="2"/>
  <c r="R223" i="2" s="1"/>
  <c r="Q224" i="2"/>
  <c r="R224" i="2" s="1"/>
  <c r="Q225" i="2"/>
  <c r="R225" i="2" s="1"/>
  <c r="Q226" i="2"/>
  <c r="R226" i="2" s="1"/>
  <c r="Q227" i="2"/>
  <c r="R227" i="2" s="1"/>
  <c r="Q228" i="2"/>
  <c r="R228" i="2" s="1"/>
  <c r="Q229" i="2"/>
  <c r="R229" i="2" s="1"/>
  <c r="Q230" i="2"/>
  <c r="R230" i="2" s="1"/>
  <c r="Q231" i="2"/>
  <c r="R231" i="2" s="1"/>
  <c r="Q232" i="2"/>
  <c r="R232" i="2" s="1"/>
  <c r="Q233" i="2"/>
  <c r="R233" i="2" s="1"/>
  <c r="Q234" i="2"/>
  <c r="R234" i="2" s="1"/>
  <c r="Q235" i="2"/>
  <c r="R235" i="2" s="1"/>
  <c r="Q236" i="2"/>
  <c r="R236" i="2" s="1"/>
  <c r="Q237" i="2"/>
  <c r="R237" i="2" s="1"/>
  <c r="Q238" i="2"/>
  <c r="R238" i="2" s="1"/>
  <c r="Q239" i="2"/>
  <c r="R239" i="2" s="1"/>
  <c r="Q240" i="2"/>
  <c r="R240" i="2" s="1"/>
  <c r="Q241" i="2"/>
  <c r="R241" i="2" s="1"/>
  <c r="Q242" i="2"/>
  <c r="R242" i="2" s="1"/>
  <c r="Q243" i="2"/>
  <c r="R243" i="2" s="1"/>
  <c r="Q244" i="2"/>
  <c r="R244" i="2" s="1"/>
  <c r="Q245" i="2"/>
  <c r="R245" i="2" s="1"/>
  <c r="Q246" i="2"/>
  <c r="R246" i="2" s="1"/>
  <c r="Q247" i="2"/>
  <c r="R247" i="2" s="1"/>
  <c r="Q248" i="2"/>
  <c r="R248" i="2" s="1"/>
  <c r="Q249" i="2"/>
  <c r="R249" i="2" s="1"/>
  <c r="Q250" i="2"/>
  <c r="R250" i="2" s="1"/>
  <c r="Q251" i="2"/>
  <c r="R251" i="2" s="1"/>
  <c r="Q252" i="2"/>
  <c r="R252" i="2" s="1"/>
  <c r="Q253" i="2"/>
  <c r="R253" i="2" s="1"/>
  <c r="Q254" i="2"/>
  <c r="R254" i="2" s="1"/>
  <c r="Q255" i="2"/>
  <c r="R255" i="2" s="1"/>
  <c r="Q256" i="2"/>
  <c r="R256" i="2" s="1"/>
  <c r="Q257" i="2"/>
  <c r="R257" i="2" s="1"/>
  <c r="Q258" i="2"/>
  <c r="R258" i="2" s="1"/>
  <c r="Q259" i="2"/>
  <c r="R259" i="2" s="1"/>
  <c r="Q260" i="2"/>
  <c r="R260" i="2" s="1"/>
  <c r="Q261" i="2"/>
  <c r="R261" i="2" s="1"/>
  <c r="Q262" i="2"/>
  <c r="R262" i="2" s="1"/>
  <c r="Q263" i="2"/>
  <c r="R263" i="2" s="1"/>
  <c r="Q264" i="2"/>
  <c r="R264" i="2" s="1"/>
  <c r="Q265" i="2"/>
  <c r="R265" i="2" s="1"/>
  <c r="Q266" i="2"/>
  <c r="R266" i="2" s="1"/>
  <c r="Q267" i="2"/>
  <c r="R267" i="2" s="1"/>
  <c r="Q268" i="2"/>
  <c r="R268" i="2" s="1"/>
  <c r="Q269" i="2"/>
  <c r="R269" i="2" s="1"/>
  <c r="Q270" i="2"/>
  <c r="R270" i="2" s="1"/>
  <c r="Q271" i="2"/>
  <c r="R271" i="2" s="1"/>
  <c r="Q272" i="2"/>
  <c r="R272" i="2" s="1"/>
  <c r="Q273" i="2"/>
  <c r="R273" i="2" s="1"/>
  <c r="Q274" i="2"/>
  <c r="R274" i="2" s="1"/>
  <c r="Q275" i="2"/>
  <c r="R275" i="2" s="1"/>
  <c r="Q276" i="2"/>
  <c r="R276" i="2" s="1"/>
  <c r="Q277" i="2"/>
  <c r="R277" i="2" s="1"/>
  <c r="Q278" i="2"/>
  <c r="R278" i="2" s="1"/>
  <c r="Q279" i="2"/>
  <c r="R279" i="2" s="1"/>
  <c r="Q280" i="2"/>
  <c r="R280" i="2" s="1"/>
  <c r="Q281" i="2"/>
  <c r="R281" i="2" s="1"/>
  <c r="Q282" i="2"/>
  <c r="R282" i="2" s="1"/>
  <c r="Q283" i="2"/>
  <c r="R283" i="2" s="1"/>
  <c r="Q284" i="2"/>
  <c r="R284" i="2" s="1"/>
  <c r="Q285" i="2"/>
  <c r="R285" i="2" s="1"/>
  <c r="Q286" i="2"/>
  <c r="R286" i="2" s="1"/>
  <c r="Q287" i="2"/>
  <c r="R287" i="2" s="1"/>
  <c r="Q288" i="2"/>
  <c r="R288" i="2" s="1"/>
  <c r="Q289" i="2"/>
  <c r="R289" i="2" s="1"/>
  <c r="Q290" i="2"/>
  <c r="R290" i="2" s="1"/>
  <c r="Q291" i="2"/>
  <c r="R291" i="2" s="1"/>
  <c r="Q292" i="2"/>
  <c r="R292" i="2" s="1"/>
  <c r="Q293" i="2"/>
  <c r="R293" i="2" s="1"/>
  <c r="Q294" i="2"/>
  <c r="R294" i="2" s="1"/>
  <c r="Q295" i="2"/>
  <c r="R295" i="2" s="1"/>
  <c r="Q296" i="2"/>
  <c r="R296" i="2" s="1"/>
  <c r="Q297" i="2"/>
  <c r="R297" i="2" s="1"/>
  <c r="Q298" i="2"/>
  <c r="R298" i="2" s="1"/>
  <c r="Q299" i="2"/>
  <c r="R299" i="2" s="1"/>
  <c r="Q300" i="2"/>
  <c r="R300" i="2" s="1"/>
  <c r="Q301" i="2"/>
  <c r="R301" i="2" s="1"/>
  <c r="Q302" i="2"/>
  <c r="R302" i="2" s="1"/>
  <c r="Q303" i="2"/>
  <c r="R303" i="2" s="1"/>
  <c r="Q304" i="2"/>
  <c r="R304" i="2" s="1"/>
  <c r="Q305" i="2"/>
  <c r="R305" i="2" s="1"/>
  <c r="Q306" i="2"/>
  <c r="R306" i="2" s="1"/>
  <c r="Q307" i="2"/>
  <c r="R307" i="2" s="1"/>
  <c r="Q308" i="2"/>
  <c r="R308" i="2" s="1"/>
  <c r="Q309" i="2"/>
  <c r="R309" i="2" s="1"/>
  <c r="Q310" i="2"/>
  <c r="R310" i="2" s="1"/>
  <c r="Q311" i="2"/>
  <c r="R311" i="2" s="1"/>
  <c r="Q312" i="2"/>
  <c r="R312" i="2" s="1"/>
  <c r="Q313" i="2"/>
  <c r="R313" i="2" s="1"/>
  <c r="Q314" i="2"/>
  <c r="R314" i="2" s="1"/>
  <c r="Q315" i="2"/>
  <c r="R315" i="2" s="1"/>
  <c r="Q316" i="2"/>
  <c r="R316" i="2" s="1"/>
  <c r="Q317" i="2"/>
  <c r="R317" i="2" s="1"/>
  <c r="Q318" i="2"/>
  <c r="R318" i="2" s="1"/>
  <c r="Q319" i="2"/>
  <c r="R319" i="2" s="1"/>
  <c r="Q320" i="2"/>
  <c r="R320" i="2" s="1"/>
  <c r="Q321" i="2"/>
  <c r="R321" i="2" s="1"/>
  <c r="Q322" i="2"/>
  <c r="R322" i="2" s="1"/>
  <c r="Q323" i="2"/>
  <c r="R323" i="2" s="1"/>
  <c r="Q324" i="2"/>
  <c r="R324" i="2" s="1"/>
  <c r="Q325" i="2"/>
  <c r="R325" i="2" s="1"/>
  <c r="Q326" i="2"/>
  <c r="R326" i="2" s="1"/>
  <c r="Q327" i="2"/>
  <c r="R327" i="2" s="1"/>
  <c r="Q328" i="2"/>
  <c r="R328" i="2" s="1"/>
  <c r="Q329" i="2"/>
  <c r="R329" i="2" s="1"/>
  <c r="Q330" i="2"/>
  <c r="R330" i="2" s="1"/>
  <c r="Q331" i="2"/>
  <c r="R331" i="2" s="1"/>
  <c r="Q332" i="2"/>
  <c r="R332" i="2" s="1"/>
  <c r="Q333" i="2"/>
  <c r="R333" i="2" s="1"/>
  <c r="Q334" i="2"/>
  <c r="R334" i="2" s="1"/>
  <c r="Q335" i="2"/>
  <c r="R335" i="2" s="1"/>
  <c r="Q336" i="2"/>
  <c r="R336" i="2" s="1"/>
  <c r="Q337" i="2"/>
  <c r="R337" i="2" s="1"/>
  <c r="Q338" i="2"/>
  <c r="R338" i="2" s="1"/>
  <c r="Q339" i="2"/>
  <c r="R339" i="2" s="1"/>
  <c r="Q340" i="2"/>
  <c r="R340" i="2" s="1"/>
  <c r="Q341" i="2"/>
  <c r="R341" i="2" s="1"/>
  <c r="Q342" i="2"/>
  <c r="R342" i="2" s="1"/>
  <c r="Q343" i="2"/>
  <c r="R343" i="2" s="1"/>
  <c r="Q344" i="2"/>
  <c r="R344" i="2" s="1"/>
  <c r="Q345" i="2"/>
  <c r="R345" i="2" s="1"/>
  <c r="Q346" i="2"/>
  <c r="R346" i="2" s="1"/>
  <c r="Q347" i="2"/>
  <c r="R347" i="2" s="1"/>
  <c r="Q348" i="2"/>
  <c r="R348" i="2" s="1"/>
  <c r="Q349" i="2"/>
  <c r="R349" i="2" s="1"/>
  <c r="Q350" i="2"/>
  <c r="R350" i="2" s="1"/>
  <c r="Q351" i="2"/>
  <c r="R351" i="2" s="1"/>
  <c r="Q352" i="2"/>
  <c r="R352" i="2" s="1"/>
  <c r="Q353" i="2"/>
  <c r="R353" i="2" s="1"/>
  <c r="Q354" i="2"/>
  <c r="R354" i="2" s="1"/>
  <c r="Q355" i="2"/>
  <c r="R355" i="2" s="1"/>
  <c r="Q356" i="2"/>
  <c r="R356" i="2" s="1"/>
  <c r="Q357" i="2"/>
  <c r="R357" i="2" s="1"/>
  <c r="Q358" i="2"/>
  <c r="R358" i="2" s="1"/>
  <c r="Q359" i="2"/>
  <c r="R359" i="2" s="1"/>
  <c r="Q360" i="2"/>
  <c r="R360" i="2" s="1"/>
  <c r="Q361" i="2"/>
  <c r="R361" i="2" s="1"/>
  <c r="Q362" i="2"/>
  <c r="R362" i="2" s="1"/>
  <c r="Q363" i="2"/>
  <c r="R363" i="2" s="1"/>
  <c r="Q364" i="2"/>
  <c r="R364" i="2" s="1"/>
  <c r="Q365" i="2"/>
  <c r="R365" i="2" s="1"/>
  <c r="Q366" i="2"/>
  <c r="R366" i="2" s="1"/>
  <c r="Q367" i="2"/>
  <c r="R367" i="2" s="1"/>
  <c r="Q368" i="2"/>
  <c r="R368" i="2" s="1"/>
  <c r="Q369" i="2"/>
  <c r="R369" i="2" s="1"/>
  <c r="Q370" i="2"/>
  <c r="R370" i="2" s="1"/>
  <c r="Q371" i="2"/>
  <c r="R371" i="2" s="1"/>
  <c r="Q372" i="2"/>
  <c r="R372" i="2" s="1"/>
  <c r="Q373" i="2"/>
  <c r="R373" i="2" s="1"/>
  <c r="Q374" i="2"/>
  <c r="R374" i="2" s="1"/>
  <c r="Q375" i="2"/>
  <c r="R375" i="2" s="1"/>
  <c r="Q376" i="2"/>
  <c r="R376" i="2" s="1"/>
  <c r="Q377" i="2"/>
  <c r="R377" i="2" s="1"/>
  <c r="Q378" i="2"/>
  <c r="R378" i="2" s="1"/>
  <c r="Q379" i="2"/>
  <c r="R379" i="2" s="1"/>
  <c r="Q380" i="2"/>
  <c r="R380" i="2" s="1"/>
  <c r="Q381" i="2"/>
  <c r="R381" i="2" s="1"/>
  <c r="Q382" i="2"/>
  <c r="R382" i="2" s="1"/>
  <c r="Q383" i="2"/>
  <c r="R383" i="2" s="1"/>
  <c r="Q384" i="2"/>
  <c r="R384" i="2" s="1"/>
  <c r="Q385" i="2"/>
  <c r="R385" i="2" s="1"/>
  <c r="Q386" i="2"/>
  <c r="R386" i="2" s="1"/>
  <c r="Q387" i="2"/>
  <c r="R387" i="2" s="1"/>
  <c r="Q388" i="2"/>
  <c r="R388" i="2" s="1"/>
  <c r="Q389" i="2"/>
  <c r="R389" i="2" s="1"/>
  <c r="Q390" i="2"/>
  <c r="R390" i="2" s="1"/>
  <c r="Q391" i="2"/>
  <c r="R391" i="2" s="1"/>
  <c r="Q392" i="2"/>
  <c r="R392" i="2" s="1"/>
  <c r="Q393" i="2"/>
  <c r="R393" i="2" s="1"/>
  <c r="Q394" i="2"/>
  <c r="R394" i="2" s="1"/>
  <c r="Q395" i="2"/>
  <c r="R395" i="2" s="1"/>
  <c r="Q396" i="2"/>
  <c r="R396" i="2" s="1"/>
  <c r="Q397" i="2"/>
  <c r="R397" i="2" s="1"/>
  <c r="Q398" i="2"/>
  <c r="R398" i="2" s="1"/>
  <c r="Q399" i="2"/>
  <c r="R399" i="2" s="1"/>
  <c r="Q400" i="2"/>
  <c r="R400" i="2" s="1"/>
  <c r="Q401" i="2"/>
  <c r="R401" i="2" s="1"/>
  <c r="Q402" i="2"/>
  <c r="R402" i="2" s="1"/>
  <c r="Q403" i="2"/>
  <c r="R403" i="2" s="1"/>
  <c r="Q404" i="2"/>
  <c r="R404" i="2" s="1"/>
  <c r="Q405" i="2"/>
  <c r="R405" i="2" s="1"/>
  <c r="Q406" i="2"/>
  <c r="R406" i="2" s="1"/>
  <c r="Q407" i="2"/>
  <c r="R407" i="2" s="1"/>
  <c r="Q408" i="2"/>
  <c r="R408" i="2" s="1"/>
  <c r="Q409" i="2"/>
  <c r="R409" i="2" s="1"/>
  <c r="Q410" i="2"/>
  <c r="R410" i="2" s="1"/>
  <c r="Q411" i="2"/>
  <c r="R411" i="2" s="1"/>
  <c r="Q412" i="2"/>
  <c r="R412" i="2" s="1"/>
  <c r="Q413" i="2"/>
  <c r="R413" i="2" s="1"/>
  <c r="Q414" i="2"/>
  <c r="R414" i="2" s="1"/>
  <c r="Q415" i="2"/>
  <c r="R415" i="2" s="1"/>
  <c r="Q416" i="2"/>
  <c r="R416" i="2" s="1"/>
  <c r="Q417" i="2"/>
  <c r="R417" i="2" s="1"/>
  <c r="Q418" i="2"/>
  <c r="R418" i="2" s="1"/>
  <c r="Q419" i="2"/>
  <c r="R419" i="2" s="1"/>
  <c r="Q420" i="2"/>
  <c r="R420" i="2" s="1"/>
  <c r="Q421" i="2"/>
  <c r="R421" i="2" s="1"/>
  <c r="Q422" i="2"/>
  <c r="R422" i="2" s="1"/>
  <c r="Q423" i="2"/>
  <c r="R423" i="2" s="1"/>
  <c r="Q424" i="2"/>
  <c r="R424" i="2" s="1"/>
  <c r="Q425" i="2"/>
  <c r="R425" i="2" s="1"/>
  <c r="Q426" i="2"/>
  <c r="R426" i="2" s="1"/>
  <c r="Q427" i="2"/>
  <c r="R427" i="2" s="1"/>
  <c r="Q428" i="2"/>
  <c r="R428" i="2" s="1"/>
  <c r="Q429" i="2"/>
  <c r="R429" i="2" s="1"/>
  <c r="Q430" i="2"/>
  <c r="R430" i="2" s="1"/>
  <c r="Q431" i="2"/>
  <c r="R431" i="2" s="1"/>
  <c r="Q432" i="2"/>
  <c r="R432" i="2" s="1"/>
  <c r="Q433" i="2"/>
  <c r="R433" i="2" s="1"/>
  <c r="Q434" i="2"/>
  <c r="R434" i="2" s="1"/>
  <c r="Q435" i="2"/>
  <c r="R435" i="2" s="1"/>
  <c r="Q436" i="2"/>
  <c r="R436" i="2" s="1"/>
  <c r="Q437" i="2"/>
  <c r="R437" i="2" s="1"/>
  <c r="Q438" i="2"/>
  <c r="R438" i="2" s="1"/>
  <c r="Q439" i="2"/>
  <c r="R439" i="2" s="1"/>
  <c r="Q440" i="2"/>
  <c r="R440" i="2" s="1"/>
  <c r="Q441" i="2"/>
  <c r="R441" i="2" s="1"/>
  <c r="Q442" i="2"/>
  <c r="R442" i="2" s="1"/>
  <c r="Q443" i="2"/>
  <c r="R443" i="2" s="1"/>
  <c r="Q444" i="2"/>
  <c r="R444" i="2" s="1"/>
  <c r="Q445" i="2"/>
  <c r="R445" i="2" s="1"/>
  <c r="Q446" i="2"/>
  <c r="R446" i="2" s="1"/>
  <c r="Q447" i="2"/>
  <c r="R447" i="2" s="1"/>
  <c r="Q448" i="2"/>
  <c r="R448" i="2" s="1"/>
  <c r="Q449" i="2"/>
  <c r="R449" i="2" s="1"/>
  <c r="Q450" i="2"/>
  <c r="R450" i="2" s="1"/>
  <c r="Q451" i="2"/>
  <c r="R451" i="2" s="1"/>
  <c r="Q452" i="2"/>
  <c r="R452" i="2" s="1"/>
  <c r="Q453" i="2"/>
  <c r="R453" i="2" s="1"/>
  <c r="Q454" i="2"/>
  <c r="R454" i="2" s="1"/>
  <c r="Q455" i="2"/>
  <c r="R455" i="2" s="1"/>
  <c r="Q456" i="2"/>
  <c r="R456" i="2" s="1"/>
  <c r="Q457" i="2"/>
  <c r="R457" i="2" s="1"/>
  <c r="Q458" i="2"/>
  <c r="R458" i="2" s="1"/>
  <c r="Q459" i="2"/>
  <c r="R459" i="2" s="1"/>
  <c r="Q460" i="2"/>
  <c r="R460" i="2" s="1"/>
  <c r="Q461" i="2"/>
  <c r="R461" i="2" s="1"/>
  <c r="Q462" i="2"/>
  <c r="R462" i="2" s="1"/>
  <c r="Q463" i="2"/>
  <c r="R463" i="2" s="1"/>
  <c r="Q464" i="2"/>
  <c r="R464" i="2" s="1"/>
  <c r="Q465" i="2"/>
  <c r="R465" i="2" s="1"/>
  <c r="Q466" i="2"/>
  <c r="R466" i="2" s="1"/>
  <c r="Q467" i="2"/>
  <c r="R467" i="2" s="1"/>
  <c r="Q468" i="2"/>
  <c r="R468" i="2" s="1"/>
  <c r="Q469" i="2"/>
  <c r="R469" i="2" s="1"/>
  <c r="Q470" i="2"/>
  <c r="R470" i="2" s="1"/>
  <c r="Q471" i="2"/>
  <c r="R471" i="2" s="1"/>
  <c r="Q472" i="2"/>
  <c r="R472" i="2" s="1"/>
  <c r="Q473" i="2"/>
  <c r="R473" i="2" s="1"/>
  <c r="Q474" i="2"/>
  <c r="R474" i="2" s="1"/>
  <c r="Q475" i="2"/>
  <c r="R475" i="2" s="1"/>
  <c r="Q476" i="2"/>
  <c r="R476" i="2" s="1"/>
  <c r="Q477" i="2"/>
  <c r="R477" i="2" s="1"/>
  <c r="Q478" i="2"/>
  <c r="R478" i="2" s="1"/>
  <c r="Q479" i="2"/>
  <c r="R479" i="2" s="1"/>
  <c r="Q480" i="2"/>
  <c r="R480" i="2" s="1"/>
  <c r="Q481" i="2"/>
  <c r="R481" i="2" s="1"/>
  <c r="Q482" i="2"/>
  <c r="R482" i="2" s="1"/>
  <c r="Q483" i="2"/>
  <c r="R483" i="2" s="1"/>
  <c r="Q484" i="2"/>
  <c r="R484" i="2" s="1"/>
  <c r="Q485" i="2"/>
  <c r="R485" i="2" s="1"/>
  <c r="Q486" i="2"/>
  <c r="R486" i="2" s="1"/>
  <c r="Q487" i="2"/>
  <c r="R487" i="2" s="1"/>
  <c r="Q488" i="2"/>
  <c r="R488" i="2" s="1"/>
  <c r="Q489" i="2"/>
  <c r="R489" i="2" s="1"/>
  <c r="Q490" i="2"/>
  <c r="R490" i="2" s="1"/>
  <c r="Q491" i="2"/>
  <c r="R491" i="2" s="1"/>
  <c r="Q492" i="2"/>
  <c r="R492" i="2" s="1"/>
  <c r="Q493" i="2"/>
  <c r="R493" i="2" s="1"/>
  <c r="Q494" i="2"/>
  <c r="R494" i="2" s="1"/>
  <c r="Q495" i="2"/>
  <c r="R495" i="2" s="1"/>
  <c r="Q496" i="2"/>
  <c r="R496" i="2" s="1"/>
  <c r="Q497" i="2"/>
  <c r="R497" i="2" s="1"/>
  <c r="Q498" i="2"/>
  <c r="R498" i="2" s="1"/>
  <c r="Q499" i="2"/>
  <c r="R499" i="2" s="1"/>
  <c r="Q500" i="2"/>
  <c r="R500" i="2" s="1"/>
  <c r="Q501" i="2"/>
  <c r="R501" i="2" s="1"/>
  <c r="Q502" i="2"/>
  <c r="R502" i="2" s="1"/>
  <c r="D501" i="2"/>
  <c r="T501" i="2" s="1"/>
  <c r="F501" i="2"/>
  <c r="G501" i="2"/>
  <c r="H50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2" i="2"/>
  <c r="D502" i="2"/>
  <c r="T502" i="2" s="1"/>
  <c r="F502"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D2" i="2"/>
  <c r="T2" i="2" s="1"/>
  <c r="D3" i="2"/>
  <c r="T3" i="2" s="1"/>
  <c r="D4" i="2"/>
  <c r="T4" i="2" s="1"/>
  <c r="D5" i="2"/>
  <c r="T5" i="2" s="1"/>
  <c r="D6" i="2"/>
  <c r="T6" i="2" s="1"/>
  <c r="D7" i="2"/>
  <c r="T7" i="2" s="1"/>
  <c r="D8" i="2"/>
  <c r="T8" i="2" s="1"/>
  <c r="D9" i="2"/>
  <c r="T9" i="2" s="1"/>
  <c r="D10" i="2"/>
  <c r="T10" i="2" s="1"/>
  <c r="D11" i="2"/>
  <c r="T11" i="2" s="1"/>
  <c r="D12" i="2"/>
  <c r="T12" i="2" s="1"/>
  <c r="D13" i="2"/>
  <c r="T13" i="2" s="1"/>
  <c r="D14" i="2"/>
  <c r="T14" i="2" s="1"/>
  <c r="D15" i="2"/>
  <c r="T15" i="2" s="1"/>
  <c r="D16" i="2"/>
  <c r="T16" i="2" s="1"/>
  <c r="D17" i="2"/>
  <c r="T17" i="2" s="1"/>
  <c r="D18" i="2"/>
  <c r="T18" i="2" s="1"/>
  <c r="D19" i="2"/>
  <c r="T19" i="2" s="1"/>
  <c r="D20" i="2"/>
  <c r="T20" i="2" s="1"/>
  <c r="D21" i="2"/>
  <c r="T21" i="2" s="1"/>
  <c r="D22" i="2"/>
  <c r="T22" i="2" s="1"/>
  <c r="D23" i="2"/>
  <c r="T23" i="2" s="1"/>
  <c r="D24" i="2"/>
  <c r="T24" i="2" s="1"/>
  <c r="D25" i="2"/>
  <c r="T25" i="2" s="1"/>
  <c r="D26" i="2"/>
  <c r="T26" i="2" s="1"/>
  <c r="D27" i="2"/>
  <c r="T27" i="2" s="1"/>
  <c r="D28" i="2"/>
  <c r="T28" i="2" s="1"/>
  <c r="D29" i="2"/>
  <c r="T29" i="2" s="1"/>
  <c r="D30" i="2"/>
  <c r="T30" i="2" s="1"/>
  <c r="D31" i="2"/>
  <c r="T31" i="2" s="1"/>
  <c r="D32" i="2"/>
  <c r="T32" i="2" s="1"/>
  <c r="D33" i="2"/>
  <c r="T33" i="2" s="1"/>
  <c r="D34" i="2"/>
  <c r="T34" i="2" s="1"/>
  <c r="D35" i="2"/>
  <c r="T35" i="2" s="1"/>
  <c r="D36" i="2"/>
  <c r="T36" i="2" s="1"/>
  <c r="D37" i="2"/>
  <c r="T37" i="2" s="1"/>
  <c r="D38" i="2"/>
  <c r="T38" i="2" s="1"/>
  <c r="D39" i="2"/>
  <c r="T39" i="2" s="1"/>
  <c r="D40" i="2"/>
  <c r="T40" i="2" s="1"/>
  <c r="D41" i="2"/>
  <c r="T41" i="2" s="1"/>
  <c r="D42" i="2"/>
  <c r="T42" i="2" s="1"/>
  <c r="D43" i="2"/>
  <c r="T43" i="2" s="1"/>
  <c r="D44" i="2"/>
  <c r="T44" i="2" s="1"/>
  <c r="D45" i="2"/>
  <c r="T45" i="2" s="1"/>
  <c r="D46" i="2"/>
  <c r="T46" i="2" s="1"/>
  <c r="D47" i="2"/>
  <c r="T47" i="2" s="1"/>
  <c r="D48" i="2"/>
  <c r="T48" i="2" s="1"/>
  <c r="D49" i="2"/>
  <c r="T49" i="2" s="1"/>
  <c r="D50" i="2"/>
  <c r="T50" i="2" s="1"/>
  <c r="D51" i="2"/>
  <c r="T51" i="2" s="1"/>
  <c r="D52" i="2"/>
  <c r="T52" i="2" s="1"/>
  <c r="D53" i="2"/>
  <c r="T53" i="2" s="1"/>
  <c r="D54" i="2"/>
  <c r="T54" i="2" s="1"/>
  <c r="D55" i="2"/>
  <c r="T55" i="2" s="1"/>
  <c r="D56" i="2"/>
  <c r="T56" i="2" s="1"/>
  <c r="D57" i="2"/>
  <c r="T57" i="2" s="1"/>
  <c r="D58" i="2"/>
  <c r="T58" i="2" s="1"/>
  <c r="D59" i="2"/>
  <c r="T59" i="2" s="1"/>
  <c r="D60" i="2"/>
  <c r="T60" i="2" s="1"/>
  <c r="D61" i="2"/>
  <c r="T61" i="2" s="1"/>
  <c r="D62" i="2"/>
  <c r="T62" i="2" s="1"/>
  <c r="D63" i="2"/>
  <c r="T63" i="2" s="1"/>
  <c r="D64" i="2"/>
  <c r="T64" i="2" s="1"/>
  <c r="D65" i="2"/>
  <c r="T65" i="2" s="1"/>
  <c r="D66" i="2"/>
  <c r="T66" i="2" s="1"/>
  <c r="D67" i="2"/>
  <c r="T67" i="2" s="1"/>
  <c r="D68" i="2"/>
  <c r="T68" i="2" s="1"/>
  <c r="D69" i="2"/>
  <c r="T69" i="2" s="1"/>
  <c r="D70" i="2"/>
  <c r="T70" i="2" s="1"/>
  <c r="D71" i="2"/>
  <c r="T71" i="2" s="1"/>
  <c r="D72" i="2"/>
  <c r="T72" i="2" s="1"/>
  <c r="D73" i="2"/>
  <c r="T73" i="2" s="1"/>
  <c r="D74" i="2"/>
  <c r="T74" i="2" s="1"/>
  <c r="D75" i="2"/>
  <c r="T75" i="2" s="1"/>
  <c r="D76" i="2"/>
  <c r="T76" i="2" s="1"/>
  <c r="D77" i="2"/>
  <c r="T77" i="2" s="1"/>
  <c r="D78" i="2"/>
  <c r="T78" i="2" s="1"/>
  <c r="D79" i="2"/>
  <c r="T79" i="2" s="1"/>
  <c r="D80" i="2"/>
  <c r="T80" i="2" s="1"/>
  <c r="D81" i="2"/>
  <c r="T81" i="2" s="1"/>
  <c r="D82" i="2"/>
  <c r="T82" i="2" s="1"/>
  <c r="D83" i="2"/>
  <c r="T83" i="2" s="1"/>
  <c r="D84" i="2"/>
  <c r="T84" i="2" s="1"/>
  <c r="D85" i="2"/>
  <c r="T85" i="2" s="1"/>
  <c r="D86" i="2"/>
  <c r="T86" i="2" s="1"/>
  <c r="D87" i="2"/>
  <c r="T87" i="2" s="1"/>
  <c r="D88" i="2"/>
  <c r="T88" i="2" s="1"/>
  <c r="D89" i="2"/>
  <c r="T89" i="2" s="1"/>
  <c r="D90" i="2"/>
  <c r="T90" i="2" s="1"/>
  <c r="D91" i="2"/>
  <c r="T91" i="2" s="1"/>
  <c r="D92" i="2"/>
  <c r="T92" i="2" s="1"/>
  <c r="D93" i="2"/>
  <c r="T93" i="2" s="1"/>
  <c r="D94" i="2"/>
  <c r="T94" i="2" s="1"/>
  <c r="D95" i="2"/>
  <c r="T95" i="2" s="1"/>
  <c r="D96" i="2"/>
  <c r="T96" i="2" s="1"/>
  <c r="D97" i="2"/>
  <c r="T97" i="2" s="1"/>
  <c r="D98" i="2"/>
  <c r="T98" i="2" s="1"/>
  <c r="D99" i="2"/>
  <c r="T99" i="2" s="1"/>
  <c r="D100" i="2"/>
  <c r="T100" i="2" s="1"/>
  <c r="D101" i="2"/>
  <c r="T101" i="2" s="1"/>
  <c r="D102" i="2"/>
  <c r="T102" i="2" s="1"/>
  <c r="D103" i="2"/>
  <c r="T103" i="2" s="1"/>
  <c r="D104" i="2"/>
  <c r="T104" i="2" s="1"/>
  <c r="D105" i="2"/>
  <c r="T105" i="2" s="1"/>
  <c r="D106" i="2"/>
  <c r="T106" i="2" s="1"/>
  <c r="D107" i="2"/>
  <c r="T107" i="2" s="1"/>
  <c r="D108" i="2"/>
  <c r="T108" i="2" s="1"/>
  <c r="D109" i="2"/>
  <c r="T109" i="2" s="1"/>
  <c r="D110" i="2"/>
  <c r="T110" i="2" s="1"/>
  <c r="D111" i="2"/>
  <c r="T111" i="2" s="1"/>
  <c r="D112" i="2"/>
  <c r="T112" i="2" s="1"/>
  <c r="D113" i="2"/>
  <c r="T113" i="2" s="1"/>
  <c r="D114" i="2"/>
  <c r="T114" i="2" s="1"/>
  <c r="D115" i="2"/>
  <c r="T115" i="2" s="1"/>
  <c r="D116" i="2"/>
  <c r="T116" i="2" s="1"/>
  <c r="D117" i="2"/>
  <c r="T117" i="2" s="1"/>
  <c r="D118" i="2"/>
  <c r="T118" i="2" s="1"/>
  <c r="D119" i="2"/>
  <c r="T119" i="2" s="1"/>
  <c r="D120" i="2"/>
  <c r="T120" i="2" s="1"/>
  <c r="D121" i="2"/>
  <c r="T121" i="2" s="1"/>
  <c r="D122" i="2"/>
  <c r="T122" i="2" s="1"/>
  <c r="D123" i="2"/>
  <c r="T123" i="2" s="1"/>
  <c r="D124" i="2"/>
  <c r="T124" i="2" s="1"/>
  <c r="D125" i="2"/>
  <c r="T125" i="2" s="1"/>
  <c r="D126" i="2"/>
  <c r="T126" i="2" s="1"/>
  <c r="D127" i="2"/>
  <c r="T127" i="2" s="1"/>
  <c r="D128" i="2"/>
  <c r="T128" i="2" s="1"/>
  <c r="D129" i="2"/>
  <c r="T129" i="2" s="1"/>
  <c r="D130" i="2"/>
  <c r="T130" i="2" s="1"/>
  <c r="D131" i="2"/>
  <c r="T131" i="2" s="1"/>
  <c r="D132" i="2"/>
  <c r="T132" i="2" s="1"/>
  <c r="D133" i="2"/>
  <c r="T133" i="2" s="1"/>
  <c r="D134" i="2"/>
  <c r="T134" i="2" s="1"/>
  <c r="D135" i="2"/>
  <c r="T135" i="2" s="1"/>
  <c r="D136" i="2"/>
  <c r="T136" i="2" s="1"/>
  <c r="D137" i="2"/>
  <c r="T137" i="2" s="1"/>
  <c r="D138" i="2"/>
  <c r="T138" i="2" s="1"/>
  <c r="D139" i="2"/>
  <c r="T139" i="2" s="1"/>
  <c r="D140" i="2"/>
  <c r="T140" i="2" s="1"/>
  <c r="D141" i="2"/>
  <c r="T141" i="2" s="1"/>
  <c r="D142" i="2"/>
  <c r="T142" i="2" s="1"/>
  <c r="D143" i="2"/>
  <c r="T143" i="2" s="1"/>
  <c r="D144" i="2"/>
  <c r="T144" i="2" s="1"/>
  <c r="D145" i="2"/>
  <c r="T145" i="2" s="1"/>
  <c r="D146" i="2"/>
  <c r="T146" i="2" s="1"/>
  <c r="D147" i="2"/>
  <c r="T147" i="2" s="1"/>
  <c r="D148" i="2"/>
  <c r="T148" i="2" s="1"/>
  <c r="D149" i="2"/>
  <c r="T149" i="2" s="1"/>
  <c r="D150" i="2"/>
  <c r="T150" i="2" s="1"/>
  <c r="D151" i="2"/>
  <c r="T151" i="2" s="1"/>
  <c r="D152" i="2"/>
  <c r="T152" i="2" s="1"/>
  <c r="D153" i="2"/>
  <c r="T153" i="2" s="1"/>
  <c r="D154" i="2"/>
  <c r="T154" i="2" s="1"/>
  <c r="D155" i="2"/>
  <c r="T155" i="2" s="1"/>
  <c r="D156" i="2"/>
  <c r="T156" i="2" s="1"/>
  <c r="D157" i="2"/>
  <c r="T157" i="2" s="1"/>
  <c r="D158" i="2"/>
  <c r="T158" i="2" s="1"/>
  <c r="D159" i="2"/>
  <c r="T159" i="2" s="1"/>
  <c r="D160" i="2"/>
  <c r="T160" i="2" s="1"/>
  <c r="D161" i="2"/>
  <c r="T161" i="2" s="1"/>
  <c r="D162" i="2"/>
  <c r="T162" i="2" s="1"/>
  <c r="D163" i="2"/>
  <c r="T163" i="2" s="1"/>
  <c r="D164" i="2"/>
  <c r="T164" i="2" s="1"/>
  <c r="D165" i="2"/>
  <c r="T165" i="2" s="1"/>
  <c r="D166" i="2"/>
  <c r="T166" i="2" s="1"/>
  <c r="D167" i="2"/>
  <c r="T167" i="2" s="1"/>
  <c r="D168" i="2"/>
  <c r="T168" i="2" s="1"/>
  <c r="D169" i="2"/>
  <c r="T169" i="2" s="1"/>
  <c r="D170" i="2"/>
  <c r="T170" i="2" s="1"/>
  <c r="D171" i="2"/>
  <c r="T171" i="2" s="1"/>
  <c r="D172" i="2"/>
  <c r="T172" i="2" s="1"/>
  <c r="D173" i="2"/>
  <c r="T173" i="2" s="1"/>
  <c r="D174" i="2"/>
  <c r="T174" i="2" s="1"/>
  <c r="D175" i="2"/>
  <c r="T175" i="2" s="1"/>
  <c r="D176" i="2"/>
  <c r="T176" i="2" s="1"/>
  <c r="D177" i="2"/>
  <c r="T177" i="2" s="1"/>
  <c r="D178" i="2"/>
  <c r="T178" i="2" s="1"/>
  <c r="D179" i="2"/>
  <c r="T179" i="2" s="1"/>
  <c r="D180" i="2"/>
  <c r="T180" i="2" s="1"/>
  <c r="D181" i="2"/>
  <c r="T181" i="2" s="1"/>
  <c r="D182" i="2"/>
  <c r="T182" i="2" s="1"/>
  <c r="D183" i="2"/>
  <c r="T183" i="2" s="1"/>
  <c r="D184" i="2"/>
  <c r="T184" i="2" s="1"/>
  <c r="D185" i="2"/>
  <c r="T185" i="2" s="1"/>
  <c r="D186" i="2"/>
  <c r="T186" i="2" s="1"/>
  <c r="D187" i="2"/>
  <c r="T187" i="2" s="1"/>
  <c r="D188" i="2"/>
  <c r="T188" i="2" s="1"/>
  <c r="D189" i="2"/>
  <c r="T189" i="2" s="1"/>
  <c r="D190" i="2"/>
  <c r="T190" i="2" s="1"/>
  <c r="D191" i="2"/>
  <c r="T191" i="2" s="1"/>
  <c r="D192" i="2"/>
  <c r="T192" i="2" s="1"/>
  <c r="D193" i="2"/>
  <c r="T193" i="2" s="1"/>
  <c r="D194" i="2"/>
  <c r="T194" i="2" s="1"/>
  <c r="D195" i="2"/>
  <c r="T195" i="2" s="1"/>
  <c r="D196" i="2"/>
  <c r="T196" i="2" s="1"/>
  <c r="D197" i="2"/>
  <c r="T197" i="2" s="1"/>
  <c r="D198" i="2"/>
  <c r="T198" i="2" s="1"/>
  <c r="D199" i="2"/>
  <c r="T199" i="2" s="1"/>
  <c r="D200" i="2"/>
  <c r="T200" i="2" s="1"/>
  <c r="D201" i="2"/>
  <c r="T201" i="2" s="1"/>
  <c r="D202" i="2"/>
  <c r="T202" i="2" s="1"/>
  <c r="D203" i="2"/>
  <c r="T203" i="2" s="1"/>
  <c r="D204" i="2"/>
  <c r="T204" i="2" s="1"/>
  <c r="D205" i="2"/>
  <c r="T205" i="2" s="1"/>
  <c r="D206" i="2"/>
  <c r="T206" i="2" s="1"/>
  <c r="D207" i="2"/>
  <c r="T207" i="2" s="1"/>
  <c r="D208" i="2"/>
  <c r="T208" i="2" s="1"/>
  <c r="D209" i="2"/>
  <c r="T209" i="2" s="1"/>
  <c r="D210" i="2"/>
  <c r="T210" i="2" s="1"/>
  <c r="D211" i="2"/>
  <c r="T211" i="2" s="1"/>
  <c r="D212" i="2"/>
  <c r="T212" i="2" s="1"/>
  <c r="D213" i="2"/>
  <c r="T213" i="2" s="1"/>
  <c r="D214" i="2"/>
  <c r="T214" i="2" s="1"/>
  <c r="D215" i="2"/>
  <c r="T215" i="2" s="1"/>
  <c r="D216" i="2"/>
  <c r="T216" i="2" s="1"/>
  <c r="D217" i="2"/>
  <c r="T217" i="2" s="1"/>
  <c r="D218" i="2"/>
  <c r="T218" i="2" s="1"/>
  <c r="D219" i="2"/>
  <c r="T219" i="2" s="1"/>
  <c r="D220" i="2"/>
  <c r="T220" i="2" s="1"/>
  <c r="D221" i="2"/>
  <c r="T221" i="2" s="1"/>
  <c r="D222" i="2"/>
  <c r="T222" i="2" s="1"/>
  <c r="D223" i="2"/>
  <c r="T223" i="2" s="1"/>
  <c r="D224" i="2"/>
  <c r="T224" i="2" s="1"/>
  <c r="D225" i="2"/>
  <c r="T225" i="2" s="1"/>
  <c r="D226" i="2"/>
  <c r="T226" i="2" s="1"/>
  <c r="D227" i="2"/>
  <c r="T227" i="2" s="1"/>
  <c r="D228" i="2"/>
  <c r="T228" i="2" s="1"/>
  <c r="D229" i="2"/>
  <c r="T229" i="2" s="1"/>
  <c r="D230" i="2"/>
  <c r="T230" i="2" s="1"/>
  <c r="D231" i="2"/>
  <c r="T231" i="2" s="1"/>
  <c r="D232" i="2"/>
  <c r="T232" i="2" s="1"/>
  <c r="D233" i="2"/>
  <c r="T233" i="2" s="1"/>
  <c r="D234" i="2"/>
  <c r="T234" i="2" s="1"/>
  <c r="D235" i="2"/>
  <c r="T235" i="2" s="1"/>
  <c r="D236" i="2"/>
  <c r="T236" i="2" s="1"/>
  <c r="D237" i="2"/>
  <c r="T237" i="2" s="1"/>
  <c r="D238" i="2"/>
  <c r="T238" i="2" s="1"/>
  <c r="D239" i="2"/>
  <c r="T239" i="2" s="1"/>
  <c r="D240" i="2"/>
  <c r="T240" i="2" s="1"/>
  <c r="D241" i="2"/>
  <c r="T241" i="2" s="1"/>
  <c r="D242" i="2"/>
  <c r="T242" i="2" s="1"/>
  <c r="D243" i="2"/>
  <c r="T243" i="2" s="1"/>
  <c r="D244" i="2"/>
  <c r="T244" i="2" s="1"/>
  <c r="D245" i="2"/>
  <c r="T245" i="2" s="1"/>
  <c r="D246" i="2"/>
  <c r="T246" i="2" s="1"/>
  <c r="D247" i="2"/>
  <c r="T247" i="2" s="1"/>
  <c r="D248" i="2"/>
  <c r="T248" i="2" s="1"/>
  <c r="D249" i="2"/>
  <c r="T249" i="2" s="1"/>
  <c r="D250" i="2"/>
  <c r="T250" i="2" s="1"/>
  <c r="D251" i="2"/>
  <c r="T251" i="2" s="1"/>
  <c r="D252" i="2"/>
  <c r="T252" i="2" s="1"/>
  <c r="D253" i="2"/>
  <c r="T253" i="2" s="1"/>
  <c r="D254" i="2"/>
  <c r="T254" i="2" s="1"/>
  <c r="D255" i="2"/>
  <c r="T255" i="2" s="1"/>
  <c r="D256" i="2"/>
  <c r="T256" i="2" s="1"/>
  <c r="D257" i="2"/>
  <c r="T257" i="2" s="1"/>
  <c r="D258" i="2"/>
  <c r="T258" i="2" s="1"/>
  <c r="D259" i="2"/>
  <c r="T259" i="2" s="1"/>
  <c r="D260" i="2"/>
  <c r="T260" i="2" s="1"/>
  <c r="D261" i="2"/>
  <c r="T261" i="2" s="1"/>
  <c r="D262" i="2"/>
  <c r="T262" i="2" s="1"/>
  <c r="D263" i="2"/>
  <c r="T263" i="2" s="1"/>
  <c r="D264" i="2"/>
  <c r="T264" i="2" s="1"/>
  <c r="D265" i="2"/>
  <c r="T265" i="2" s="1"/>
  <c r="D266" i="2"/>
  <c r="T266" i="2" s="1"/>
  <c r="D267" i="2"/>
  <c r="T267" i="2" s="1"/>
  <c r="D268" i="2"/>
  <c r="T268" i="2" s="1"/>
  <c r="D269" i="2"/>
  <c r="T269" i="2" s="1"/>
  <c r="D270" i="2"/>
  <c r="T270" i="2" s="1"/>
  <c r="D271" i="2"/>
  <c r="T271" i="2" s="1"/>
  <c r="D272" i="2"/>
  <c r="T272" i="2" s="1"/>
  <c r="D273" i="2"/>
  <c r="T273" i="2" s="1"/>
  <c r="D274" i="2"/>
  <c r="T274" i="2" s="1"/>
  <c r="D275" i="2"/>
  <c r="T275" i="2" s="1"/>
  <c r="D276" i="2"/>
  <c r="T276" i="2" s="1"/>
  <c r="D277" i="2"/>
  <c r="T277" i="2" s="1"/>
  <c r="D278" i="2"/>
  <c r="T278" i="2" s="1"/>
  <c r="D279" i="2"/>
  <c r="T279" i="2" s="1"/>
  <c r="D280" i="2"/>
  <c r="T280" i="2" s="1"/>
  <c r="D281" i="2"/>
  <c r="T281" i="2" s="1"/>
  <c r="D282" i="2"/>
  <c r="T282" i="2" s="1"/>
  <c r="D283" i="2"/>
  <c r="T283" i="2" s="1"/>
  <c r="D284" i="2"/>
  <c r="T284" i="2" s="1"/>
  <c r="D285" i="2"/>
  <c r="T285" i="2" s="1"/>
  <c r="D286" i="2"/>
  <c r="T286" i="2" s="1"/>
  <c r="D287" i="2"/>
  <c r="T287" i="2" s="1"/>
  <c r="D288" i="2"/>
  <c r="T288" i="2" s="1"/>
  <c r="D289" i="2"/>
  <c r="T289" i="2" s="1"/>
  <c r="D290" i="2"/>
  <c r="T290" i="2" s="1"/>
  <c r="D291" i="2"/>
  <c r="T291" i="2" s="1"/>
  <c r="D292" i="2"/>
  <c r="T292" i="2" s="1"/>
  <c r="D293" i="2"/>
  <c r="T293" i="2" s="1"/>
  <c r="D294" i="2"/>
  <c r="T294" i="2" s="1"/>
  <c r="D295" i="2"/>
  <c r="T295" i="2" s="1"/>
  <c r="D296" i="2"/>
  <c r="T296" i="2" s="1"/>
  <c r="D297" i="2"/>
  <c r="T297" i="2" s="1"/>
  <c r="D298" i="2"/>
  <c r="T298" i="2" s="1"/>
  <c r="D299" i="2"/>
  <c r="T299" i="2" s="1"/>
  <c r="D300" i="2"/>
  <c r="T300" i="2" s="1"/>
  <c r="D301" i="2"/>
  <c r="T301" i="2" s="1"/>
  <c r="D302" i="2"/>
  <c r="T302" i="2" s="1"/>
  <c r="D303" i="2"/>
  <c r="T303" i="2" s="1"/>
  <c r="D304" i="2"/>
  <c r="T304" i="2" s="1"/>
  <c r="D305" i="2"/>
  <c r="T305" i="2" s="1"/>
  <c r="D306" i="2"/>
  <c r="T306" i="2" s="1"/>
  <c r="D307" i="2"/>
  <c r="T307" i="2" s="1"/>
  <c r="D308" i="2"/>
  <c r="T308" i="2" s="1"/>
  <c r="D309" i="2"/>
  <c r="T309" i="2" s="1"/>
  <c r="D310" i="2"/>
  <c r="T310" i="2" s="1"/>
  <c r="D311" i="2"/>
  <c r="T311" i="2" s="1"/>
  <c r="D312" i="2"/>
  <c r="T312" i="2" s="1"/>
  <c r="D313" i="2"/>
  <c r="T313" i="2" s="1"/>
  <c r="D314" i="2"/>
  <c r="T314" i="2" s="1"/>
  <c r="D315" i="2"/>
  <c r="T315" i="2" s="1"/>
  <c r="D316" i="2"/>
  <c r="T316" i="2" s="1"/>
  <c r="D317" i="2"/>
  <c r="T317" i="2" s="1"/>
  <c r="D318" i="2"/>
  <c r="T318" i="2" s="1"/>
  <c r="D319" i="2"/>
  <c r="T319" i="2" s="1"/>
  <c r="D320" i="2"/>
  <c r="T320" i="2" s="1"/>
  <c r="D321" i="2"/>
  <c r="T321" i="2" s="1"/>
  <c r="D322" i="2"/>
  <c r="T322" i="2" s="1"/>
  <c r="D323" i="2"/>
  <c r="T323" i="2" s="1"/>
  <c r="D324" i="2"/>
  <c r="T324" i="2" s="1"/>
  <c r="D325" i="2"/>
  <c r="T325" i="2" s="1"/>
  <c r="D326" i="2"/>
  <c r="T326" i="2" s="1"/>
  <c r="D327" i="2"/>
  <c r="T327" i="2" s="1"/>
  <c r="D328" i="2"/>
  <c r="T328" i="2" s="1"/>
  <c r="D329" i="2"/>
  <c r="T329" i="2" s="1"/>
  <c r="D330" i="2"/>
  <c r="T330" i="2" s="1"/>
  <c r="D331" i="2"/>
  <c r="T331" i="2" s="1"/>
  <c r="D332" i="2"/>
  <c r="T332" i="2" s="1"/>
  <c r="D333" i="2"/>
  <c r="T333" i="2" s="1"/>
  <c r="D334" i="2"/>
  <c r="T334" i="2" s="1"/>
  <c r="D335" i="2"/>
  <c r="T335" i="2" s="1"/>
  <c r="D336" i="2"/>
  <c r="T336" i="2" s="1"/>
  <c r="D337" i="2"/>
  <c r="T337" i="2" s="1"/>
  <c r="D338" i="2"/>
  <c r="T338" i="2" s="1"/>
  <c r="D339" i="2"/>
  <c r="T339" i="2" s="1"/>
  <c r="D340" i="2"/>
  <c r="T340" i="2" s="1"/>
  <c r="D341" i="2"/>
  <c r="T341" i="2" s="1"/>
  <c r="D342" i="2"/>
  <c r="T342" i="2" s="1"/>
  <c r="D343" i="2"/>
  <c r="T343" i="2" s="1"/>
  <c r="D344" i="2"/>
  <c r="T344" i="2" s="1"/>
  <c r="D345" i="2"/>
  <c r="T345" i="2" s="1"/>
  <c r="D346" i="2"/>
  <c r="T346" i="2" s="1"/>
  <c r="D347" i="2"/>
  <c r="T347" i="2" s="1"/>
  <c r="D348" i="2"/>
  <c r="T348" i="2" s="1"/>
  <c r="D349" i="2"/>
  <c r="T349" i="2" s="1"/>
  <c r="D350" i="2"/>
  <c r="T350" i="2" s="1"/>
  <c r="D351" i="2"/>
  <c r="T351" i="2" s="1"/>
  <c r="D352" i="2"/>
  <c r="T352" i="2" s="1"/>
  <c r="D353" i="2"/>
  <c r="T353" i="2" s="1"/>
  <c r="D354" i="2"/>
  <c r="T354" i="2" s="1"/>
  <c r="D355" i="2"/>
  <c r="T355" i="2" s="1"/>
  <c r="D356" i="2"/>
  <c r="T356" i="2" s="1"/>
  <c r="D357" i="2"/>
  <c r="T357" i="2" s="1"/>
  <c r="D358" i="2"/>
  <c r="T358" i="2" s="1"/>
  <c r="D359" i="2"/>
  <c r="T359" i="2" s="1"/>
  <c r="D360" i="2"/>
  <c r="T360" i="2" s="1"/>
  <c r="D361" i="2"/>
  <c r="T361" i="2" s="1"/>
  <c r="D362" i="2"/>
  <c r="T362" i="2" s="1"/>
  <c r="D363" i="2"/>
  <c r="T363" i="2" s="1"/>
  <c r="D364" i="2"/>
  <c r="T364" i="2" s="1"/>
  <c r="D365" i="2"/>
  <c r="T365" i="2" s="1"/>
  <c r="D366" i="2"/>
  <c r="T366" i="2" s="1"/>
  <c r="D367" i="2"/>
  <c r="T367" i="2" s="1"/>
  <c r="D368" i="2"/>
  <c r="T368" i="2" s="1"/>
  <c r="D369" i="2"/>
  <c r="T369" i="2" s="1"/>
  <c r="D370" i="2"/>
  <c r="T370" i="2" s="1"/>
  <c r="D371" i="2"/>
  <c r="T371" i="2" s="1"/>
  <c r="D372" i="2"/>
  <c r="T372" i="2" s="1"/>
  <c r="D373" i="2"/>
  <c r="T373" i="2" s="1"/>
  <c r="D374" i="2"/>
  <c r="T374" i="2" s="1"/>
  <c r="D375" i="2"/>
  <c r="T375" i="2" s="1"/>
  <c r="D376" i="2"/>
  <c r="T376" i="2" s="1"/>
  <c r="D377" i="2"/>
  <c r="T377" i="2" s="1"/>
  <c r="D378" i="2"/>
  <c r="T378" i="2" s="1"/>
  <c r="D379" i="2"/>
  <c r="T379" i="2" s="1"/>
  <c r="D380" i="2"/>
  <c r="T380" i="2" s="1"/>
  <c r="D381" i="2"/>
  <c r="T381" i="2" s="1"/>
  <c r="D382" i="2"/>
  <c r="T382" i="2" s="1"/>
  <c r="D383" i="2"/>
  <c r="T383" i="2" s="1"/>
  <c r="D384" i="2"/>
  <c r="T384" i="2" s="1"/>
  <c r="D385" i="2"/>
  <c r="T385" i="2" s="1"/>
  <c r="D386" i="2"/>
  <c r="T386" i="2" s="1"/>
  <c r="D387" i="2"/>
  <c r="T387" i="2" s="1"/>
  <c r="D388" i="2"/>
  <c r="T388" i="2" s="1"/>
  <c r="D389" i="2"/>
  <c r="T389" i="2" s="1"/>
  <c r="D390" i="2"/>
  <c r="T390" i="2" s="1"/>
  <c r="D391" i="2"/>
  <c r="T391" i="2" s="1"/>
  <c r="D392" i="2"/>
  <c r="T392" i="2" s="1"/>
  <c r="D393" i="2"/>
  <c r="T393" i="2" s="1"/>
  <c r="D394" i="2"/>
  <c r="T394" i="2" s="1"/>
  <c r="D395" i="2"/>
  <c r="T395" i="2" s="1"/>
  <c r="D396" i="2"/>
  <c r="T396" i="2" s="1"/>
  <c r="D397" i="2"/>
  <c r="T397" i="2" s="1"/>
  <c r="D398" i="2"/>
  <c r="T398" i="2" s="1"/>
  <c r="D399" i="2"/>
  <c r="T399" i="2" s="1"/>
  <c r="D400" i="2"/>
  <c r="T400" i="2" s="1"/>
  <c r="D401" i="2"/>
  <c r="T401" i="2" s="1"/>
  <c r="D402" i="2"/>
  <c r="T402" i="2" s="1"/>
  <c r="D403" i="2"/>
  <c r="T403" i="2" s="1"/>
  <c r="D404" i="2"/>
  <c r="T404" i="2" s="1"/>
  <c r="D405" i="2"/>
  <c r="T405" i="2" s="1"/>
  <c r="D406" i="2"/>
  <c r="T406" i="2" s="1"/>
  <c r="D407" i="2"/>
  <c r="T407" i="2" s="1"/>
  <c r="D408" i="2"/>
  <c r="T408" i="2" s="1"/>
  <c r="D409" i="2"/>
  <c r="T409" i="2" s="1"/>
  <c r="D410" i="2"/>
  <c r="T410" i="2" s="1"/>
  <c r="D411" i="2"/>
  <c r="T411" i="2" s="1"/>
  <c r="D412" i="2"/>
  <c r="T412" i="2" s="1"/>
  <c r="D413" i="2"/>
  <c r="T413" i="2" s="1"/>
  <c r="D414" i="2"/>
  <c r="T414" i="2" s="1"/>
  <c r="D415" i="2"/>
  <c r="T415" i="2" s="1"/>
  <c r="D416" i="2"/>
  <c r="T416" i="2" s="1"/>
  <c r="D417" i="2"/>
  <c r="T417" i="2" s="1"/>
  <c r="D418" i="2"/>
  <c r="T418" i="2" s="1"/>
  <c r="D419" i="2"/>
  <c r="T419" i="2" s="1"/>
  <c r="D420" i="2"/>
  <c r="T420" i="2" s="1"/>
  <c r="D421" i="2"/>
  <c r="T421" i="2" s="1"/>
  <c r="D422" i="2"/>
  <c r="T422" i="2" s="1"/>
  <c r="D423" i="2"/>
  <c r="T423" i="2" s="1"/>
  <c r="D424" i="2"/>
  <c r="T424" i="2" s="1"/>
  <c r="D425" i="2"/>
  <c r="T425" i="2" s="1"/>
  <c r="D426" i="2"/>
  <c r="T426" i="2" s="1"/>
  <c r="D427" i="2"/>
  <c r="T427" i="2" s="1"/>
  <c r="D428" i="2"/>
  <c r="T428" i="2" s="1"/>
  <c r="D429" i="2"/>
  <c r="T429" i="2" s="1"/>
  <c r="D430" i="2"/>
  <c r="T430" i="2" s="1"/>
  <c r="D431" i="2"/>
  <c r="T431" i="2" s="1"/>
  <c r="D432" i="2"/>
  <c r="T432" i="2" s="1"/>
  <c r="D433" i="2"/>
  <c r="T433" i="2" s="1"/>
  <c r="D434" i="2"/>
  <c r="T434" i="2" s="1"/>
  <c r="D435" i="2"/>
  <c r="T435" i="2" s="1"/>
  <c r="D436" i="2"/>
  <c r="T436" i="2" s="1"/>
  <c r="D437" i="2"/>
  <c r="T437" i="2" s="1"/>
  <c r="D438" i="2"/>
  <c r="T438" i="2" s="1"/>
  <c r="D439" i="2"/>
  <c r="T439" i="2" s="1"/>
  <c r="D440" i="2"/>
  <c r="T440" i="2" s="1"/>
  <c r="D441" i="2"/>
  <c r="T441" i="2" s="1"/>
  <c r="D442" i="2"/>
  <c r="T442" i="2" s="1"/>
  <c r="D443" i="2"/>
  <c r="T443" i="2" s="1"/>
  <c r="D444" i="2"/>
  <c r="T444" i="2" s="1"/>
  <c r="D445" i="2"/>
  <c r="T445" i="2" s="1"/>
  <c r="D446" i="2"/>
  <c r="T446" i="2" s="1"/>
  <c r="D447" i="2"/>
  <c r="T447" i="2" s="1"/>
  <c r="D448" i="2"/>
  <c r="T448" i="2" s="1"/>
  <c r="D449" i="2"/>
  <c r="T449" i="2" s="1"/>
  <c r="D450" i="2"/>
  <c r="T450" i="2" s="1"/>
  <c r="D451" i="2"/>
  <c r="T451" i="2" s="1"/>
  <c r="D452" i="2"/>
  <c r="T452" i="2" s="1"/>
  <c r="D453" i="2"/>
  <c r="T453" i="2" s="1"/>
  <c r="D454" i="2"/>
  <c r="T454" i="2" s="1"/>
  <c r="D455" i="2"/>
  <c r="T455" i="2" s="1"/>
  <c r="D456" i="2"/>
  <c r="T456" i="2" s="1"/>
  <c r="D457" i="2"/>
  <c r="T457" i="2" s="1"/>
  <c r="D458" i="2"/>
  <c r="T458" i="2" s="1"/>
  <c r="D459" i="2"/>
  <c r="T459" i="2" s="1"/>
  <c r="D460" i="2"/>
  <c r="T460" i="2" s="1"/>
  <c r="D461" i="2"/>
  <c r="T461" i="2" s="1"/>
  <c r="D462" i="2"/>
  <c r="T462" i="2" s="1"/>
  <c r="D463" i="2"/>
  <c r="T463" i="2" s="1"/>
  <c r="D464" i="2"/>
  <c r="T464" i="2" s="1"/>
  <c r="D465" i="2"/>
  <c r="T465" i="2" s="1"/>
  <c r="D466" i="2"/>
  <c r="T466" i="2" s="1"/>
  <c r="D467" i="2"/>
  <c r="T467" i="2" s="1"/>
  <c r="D468" i="2"/>
  <c r="T468" i="2" s="1"/>
  <c r="D469" i="2"/>
  <c r="T469" i="2" s="1"/>
  <c r="D470" i="2"/>
  <c r="T470" i="2" s="1"/>
  <c r="D471" i="2"/>
  <c r="T471" i="2" s="1"/>
  <c r="D472" i="2"/>
  <c r="T472" i="2" s="1"/>
  <c r="D473" i="2"/>
  <c r="T473" i="2" s="1"/>
  <c r="D474" i="2"/>
  <c r="T474" i="2" s="1"/>
  <c r="D475" i="2"/>
  <c r="T475" i="2" s="1"/>
  <c r="D476" i="2"/>
  <c r="T476" i="2" s="1"/>
  <c r="D477" i="2"/>
  <c r="T477" i="2" s="1"/>
  <c r="D478" i="2"/>
  <c r="T478" i="2" s="1"/>
  <c r="D479" i="2"/>
  <c r="T479" i="2" s="1"/>
  <c r="D480" i="2"/>
  <c r="T480" i="2" s="1"/>
  <c r="D481" i="2"/>
  <c r="T481" i="2" s="1"/>
  <c r="D482" i="2"/>
  <c r="T482" i="2" s="1"/>
  <c r="D483" i="2"/>
  <c r="T483" i="2" s="1"/>
  <c r="D484" i="2"/>
  <c r="T484" i="2" s="1"/>
  <c r="D485" i="2"/>
  <c r="T485" i="2" s="1"/>
  <c r="D486" i="2"/>
  <c r="T486" i="2" s="1"/>
  <c r="D487" i="2"/>
  <c r="T487" i="2" s="1"/>
  <c r="D488" i="2"/>
  <c r="T488" i="2" s="1"/>
  <c r="D489" i="2"/>
  <c r="T489" i="2" s="1"/>
  <c r="D490" i="2"/>
  <c r="T490" i="2" s="1"/>
  <c r="D491" i="2"/>
  <c r="T491" i="2" s="1"/>
  <c r="D492" i="2"/>
  <c r="T492" i="2" s="1"/>
  <c r="D493" i="2"/>
  <c r="T493" i="2" s="1"/>
  <c r="D494" i="2"/>
  <c r="T494" i="2" s="1"/>
  <c r="D495" i="2"/>
  <c r="T495" i="2" s="1"/>
  <c r="D496" i="2"/>
  <c r="T496" i="2" s="1"/>
  <c r="D497" i="2"/>
  <c r="T497" i="2" s="1"/>
  <c r="D498" i="2"/>
  <c r="T498" i="2" s="1"/>
  <c r="D499" i="2"/>
  <c r="T499" i="2" s="1"/>
  <c r="D500" i="2"/>
  <c r="T500" i="2" s="1"/>
  <c r="B4" i="4"/>
  <c r="B7" i="4"/>
  <c r="B6" i="4"/>
  <c r="B5" i="4"/>
  <c r="B3" i="4"/>
</calcChain>
</file>

<file path=xl/sharedStrings.xml><?xml version="1.0" encoding="utf-8"?>
<sst xmlns="http://schemas.openxmlformats.org/spreadsheetml/2006/main" count="6115" uniqueCount="581">
  <si>
    <t xml:space="preserve"> Order ID</t>
  </si>
  <si>
    <t>Order Date</t>
  </si>
  <si>
    <t>Ship Date</t>
  </si>
  <si>
    <t>Ship Mode</t>
  </si>
  <si>
    <t>Customer Segment</t>
  </si>
  <si>
    <t>Region</t>
  </si>
  <si>
    <t>Category</t>
  </si>
  <si>
    <t>Sub-Category</t>
  </si>
  <si>
    <t>Sales</t>
  </si>
  <si>
    <t>Quantity</t>
  </si>
  <si>
    <t>Discount</t>
  </si>
  <si>
    <t>Profit</t>
  </si>
  <si>
    <t>ORD-1001</t>
  </si>
  <si>
    <t>Same Day</t>
  </si>
  <si>
    <t>Corporate</t>
  </si>
  <si>
    <t>South</t>
  </si>
  <si>
    <t>Technology</t>
  </si>
  <si>
    <t>Accessories</t>
  </si>
  <si>
    <t>ORD-1002</t>
  </si>
  <si>
    <t>First Class</t>
  </si>
  <si>
    <t>Consumer</t>
  </si>
  <si>
    <t>West</t>
  </si>
  <si>
    <t>Office Supplies</t>
  </si>
  <si>
    <t>Paper</t>
  </si>
  <si>
    <t>ORD-1003</t>
  </si>
  <si>
    <t>Standard Class</t>
  </si>
  <si>
    <t>East</t>
  </si>
  <si>
    <t>ORD-1004</t>
  </si>
  <si>
    <t>Second Class</t>
  </si>
  <si>
    <t>Furniture</t>
  </si>
  <si>
    <t>Chairs</t>
  </si>
  <si>
    <t>ORD-1005</t>
  </si>
  <si>
    <t>Central</t>
  </si>
  <si>
    <t>Phones</t>
  </si>
  <si>
    <t>ORD-1006</t>
  </si>
  <si>
    <t>Storage</t>
  </si>
  <si>
    <t>ORD-1007</t>
  </si>
  <si>
    <t>Home Office</t>
  </si>
  <si>
    <t>Machines</t>
  </si>
  <si>
    <t>ORD-1008</t>
  </si>
  <si>
    <t>Binders</t>
  </si>
  <si>
    <t>ORD-1009</t>
  </si>
  <si>
    <t>ORD-1010</t>
  </si>
  <si>
    <t>Bookcases</t>
  </si>
  <si>
    <t>ORD-1011</t>
  </si>
  <si>
    <t>Tables</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</si>
  <si>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</si>
  <si>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</si>
  <si>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</si>
  <si>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</si>
  <si>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</si>
  <si>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</si>
  <si>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</si>
  <si>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</si>
  <si>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</si>
  <si>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</si>
  <si>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</si>
  <si>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</si>
  <si>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</si>
  <si>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</si>
  <si>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</si>
  <si>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</si>
  <si>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</si>
  <si>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</si>
  <si>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</si>
  <si>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</si>
  <si>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</si>
  <si>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</si>
  <si>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</si>
  <si>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</si>
  <si>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</si>
  <si>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</si>
  <si>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</si>
  <si>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</si>
  <si>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</si>
  <si>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</si>
  <si>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</si>
  <si>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</si>
  <si>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</si>
  <si>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</si>
  <si>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</si>
  <si>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</si>
  <si>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</si>
  <si>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</si>
  <si>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</si>
  <si>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</si>
  <si>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</si>
  <si>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</si>
  <si>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</si>
  <si>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</si>
  <si>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</si>
  <si>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</si>
  <si>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</si>
  <si>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</si>
  <si>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</si>
  <si>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</si>
  <si>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</si>
  <si>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</si>
  <si>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</si>
  <si>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</si>
  <si>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</si>
  <si>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</si>
  <si>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</si>
  <si>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</si>
  <si>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</si>
  <si>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</si>
  <si>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</si>
  <si>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</si>
  <si>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</si>
  <si>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</si>
  <si>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</si>
  <si>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</si>
  <si>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</si>
  <si>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</si>
  <si>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</si>
  <si>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</si>
  <si>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</si>
  <si>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</si>
  <si>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</si>
  <si>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</si>
  <si>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</si>
  <si>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</si>
  <si>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</si>
  <si>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</si>
  <si>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</si>
  <si>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</si>
  <si>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</si>
  <si>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</si>
  <si>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</si>
  <si>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</si>
  <si>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</si>
  <si>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</si>
  <si>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</si>
  <si>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</si>
  <si>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</si>
  <si>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</si>
  <si>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</si>
  <si>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</si>
  <si>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</si>
  <si>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</si>
  <si>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</si>
  <si>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</si>
  <si>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</si>
  <si>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</si>
  <si>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</si>
  <si>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</si>
  <si>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</si>
  <si>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</si>
  <si>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</si>
  <si>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</si>
  <si>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</si>
  <si>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</si>
  <si>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</si>
  <si>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</si>
  <si>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</si>
  <si>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</si>
  <si>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</si>
  <si>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</si>
  <si>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</si>
  <si>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</si>
  <si>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</si>
  <si>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</si>
  <si>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</si>
  <si>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</si>
  <si>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</si>
  <si>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</si>
  <si>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</si>
  <si>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</si>
  <si>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</si>
  <si>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</si>
  <si>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</si>
  <si>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</si>
  <si>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</si>
  <si>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</si>
  <si>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</si>
  <si>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</si>
  <si>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</si>
  <si>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</si>
  <si>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</si>
  <si>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</si>
  <si>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</si>
  <si>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</si>
  <si>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</si>
  <si>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</si>
  <si>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</si>
  <si>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</si>
  <si>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</si>
  <si>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</si>
  <si>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</si>
  <si>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</si>
  <si>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</si>
  <si>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</si>
  <si>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</si>
  <si>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</si>
  <si>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</si>
  <si>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</si>
  <si>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</si>
  <si>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</si>
  <si>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</si>
  <si>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</si>
  <si>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</si>
  <si>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</si>
  <si>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</si>
  <si>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</si>
  <si>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</si>
  <si>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</si>
  <si>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</si>
  <si>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</si>
  <si>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</si>
  <si>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</si>
  <si>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</si>
  <si>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</si>
  <si>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</si>
  <si>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</si>
  <si>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</si>
  <si>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</si>
  <si>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</si>
  <si>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</si>
  <si>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</si>
  <si>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</si>
  <si>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</si>
  <si>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</si>
  <si>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</si>
  <si>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</si>
  <si>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</si>
  <si>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</si>
  <si>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</si>
  <si>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</si>
  <si>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</si>
  <si>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</si>
  <si>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</si>
  <si>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</si>
  <si>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</si>
  <si>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</si>
  <si>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</si>
  <si>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</si>
  <si>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</si>
  <si>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</si>
  <si>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</si>
  <si>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</si>
  <si>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</si>
  <si>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</si>
  <si>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</si>
  <si>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</si>
  <si>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</si>
  <si>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</si>
  <si>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</si>
  <si>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</si>
  <si>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</si>
  <si>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</si>
  <si>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</si>
  <si>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</si>
  <si>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</si>
  <si>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</si>
  <si>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</si>
  <si>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</si>
  <si>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</si>
  <si>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</si>
  <si>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</si>
  <si>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</si>
  <si>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</si>
  <si>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</si>
  <si>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</si>
  <si>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</si>
  <si>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</si>
  <si>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</si>
  <si>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</si>
  <si>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</si>
  <si>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</si>
  <si>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</si>
  <si>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</si>
  <si>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</si>
  <si>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</si>
  <si>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</si>
  <si>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</si>
  <si>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</si>
  <si>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</si>
  <si>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</si>
  <si>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</si>
  <si>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</si>
  <si>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</si>
  <si>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</si>
  <si>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</si>
  <si>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</si>
  <si>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</si>
  <si>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</si>
  <si>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</si>
  <si>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</si>
  <si>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</si>
  <si>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</si>
  <si>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</si>
  <si>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</si>
  <si>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</si>
  <si>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</si>
  <si>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</si>
  <si>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</si>
  <si>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</si>
  <si>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</si>
  <si>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</si>
  <si>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</si>
  <si>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</si>
  <si>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</si>
  <si>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</si>
  <si>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</si>
  <si>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</si>
  <si>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</si>
  <si>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</si>
  <si>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</si>
  <si>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</si>
  <si>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</si>
  <si>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</si>
  <si>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</si>
  <si>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</si>
  <si>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</si>
  <si>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</si>
  <si>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</si>
  <si>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</si>
  <si>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</si>
  <si>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</si>
  <si>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</si>
  <si>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</si>
  <si>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</si>
  <si>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</si>
  <si>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</si>
  <si>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</si>
  <si>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</si>
  <si>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</si>
  <si>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</si>
  <si>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</si>
  <si>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</si>
  <si>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</si>
  <si>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</si>
  <si>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</si>
  <si>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</si>
  <si>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</si>
  <si>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</si>
  <si>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</si>
  <si>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</si>
  <si>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</si>
  <si>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</si>
  <si>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</si>
  <si>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</si>
  <si>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</si>
  <si>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</si>
  <si>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</si>
  <si>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</si>
  <si>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</si>
  <si>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</si>
  <si>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</si>
  <si>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</si>
  <si>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</si>
  <si>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</si>
  <si>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</si>
  <si>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</si>
  <si>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</si>
  <si>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</si>
  <si>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</si>
  <si>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</si>
  <si>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</si>
  <si>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</si>
  <si>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</si>
  <si>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</si>
  <si>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</si>
  <si>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</si>
  <si>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</si>
  <si>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</si>
  <si>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</si>
  <si>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</si>
  <si>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</si>
  <si>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</si>
  <si>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</si>
  <si>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</si>
  <si>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</si>
  <si>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</si>
  <si>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</si>
  <si>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</si>
  <si>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</si>
  <si>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</si>
  <si>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</si>
  <si>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</si>
  <si>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</si>
  <si>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</si>
  <si>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</si>
  <si>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</si>
  <si>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</si>
  <si>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</si>
  <si>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</si>
  <si>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</si>
  <si>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</si>
  <si>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</si>
  <si>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</si>
  <si>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</si>
  <si>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</si>
  <si>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</si>
  <si>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</si>
  <si>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</si>
  <si>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</si>
  <si>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</si>
  <si>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</si>
  <si>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</si>
  <si>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</si>
  <si>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</si>
  <si>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</si>
  <si>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</si>
  <si>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</si>
  <si>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</si>
  <si>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</si>
  <si>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</si>
  <si>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</si>
  <si>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</si>
  <si>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</si>
  <si>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</si>
  <si>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</si>
  <si>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</si>
  <si>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</si>
  <si>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</si>
  <si>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</si>
  <si>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</si>
  <si>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</si>
  <si>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</si>
  <si>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</si>
  <si>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</si>
  <si>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</si>
  <si>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</si>
  <si>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</si>
  <si>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</si>
  <si>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</si>
  <si>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</si>
  <si>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</si>
  <si>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</si>
  <si>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</si>
  <si>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</si>
  <si>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</si>
  <si>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</si>
  <si>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</si>
  <si>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</si>
  <si>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</si>
  <si>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</si>
  <si>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</si>
  <si>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</si>
  <si>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</si>
  <si>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</si>
  <si>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</si>
  <si>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</si>
  <si>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</si>
  <si>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</si>
  <si>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</si>
  <si>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</si>
  <si>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</si>
  <si>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</si>
  <si>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</si>
  <si>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</si>
  <si>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</si>
  <si>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</si>
  <si>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</si>
  <si>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</si>
  <si>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</si>
  <si>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</si>
  <si>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</si>
  <si>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</si>
  <si>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</si>
  <si>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</si>
  <si>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</si>
  <si>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</si>
  <si>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</si>
  <si>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</si>
  <si>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</si>
  <si>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</si>
  <si>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</si>
  <si>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</si>
  <si>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</si>
  <si>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</si>
  <si>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</si>
  <si>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</si>
  <si>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</si>
  <si>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</si>
  <si>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</si>
  <si>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</si>
  <si>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</si>
  <si>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</si>
  <si>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</si>
  <si>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</si>
  <si>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</si>
  <si>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</si>
  <si>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</si>
  <si>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</si>
  <si>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</si>
  <si>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</si>
  <si>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</si>
  <si>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</si>
  <si>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</si>
  <si>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</si>
  <si>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</si>
  <si>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</si>
  <si>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</si>
  <si>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</si>
  <si>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</si>
  <si>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</si>
  <si>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</si>
  <si>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</si>
  <si>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</si>
  <si>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</si>
  <si>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</si>
  <si>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</si>
  <si>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</si>
  <si>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</si>
  <si>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</si>
  <si>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</si>
  <si>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</si>
  <si>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</si>
  <si>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</si>
  <si>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</si>
  <si>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</si>
  <si>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</si>
  <si>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</si>
  <si>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</si>
  <si>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</si>
  <si>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</si>
  <si>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</si>
  <si>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</si>
  <si>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</si>
  <si>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</si>
  <si>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</si>
  <si>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</si>
  <si>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</si>
  <si>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</si>
  <si>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</si>
  <si>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</si>
  <si>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</si>
  <si>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</si>
  <si>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</si>
  <si>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</si>
  <si>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</si>
  <si>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</si>
  <si>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</si>
  <si>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Days</t>
  </si>
  <si>
    <t>Shipped date</t>
  </si>
  <si>
    <t>YEAR</t>
  </si>
  <si>
    <t>Sum of Sales</t>
  </si>
  <si>
    <t>Column Labels</t>
  </si>
  <si>
    <t>Grand Total</t>
  </si>
  <si>
    <t>Row Labels</t>
  </si>
  <si>
    <t>May</t>
  </si>
  <si>
    <t>February</t>
  </si>
  <si>
    <t>October</t>
  </si>
  <si>
    <t>March</t>
  </si>
  <si>
    <t>June</t>
  </si>
  <si>
    <t>July</t>
  </si>
  <si>
    <t>November</t>
  </si>
  <si>
    <t>September</t>
  </si>
  <si>
    <t>January</t>
  </si>
  <si>
    <t>December</t>
  </si>
  <si>
    <t>August</t>
  </si>
  <si>
    <t>April</t>
  </si>
  <si>
    <t>Sum of Profit</t>
  </si>
  <si>
    <t xml:space="preserve"> Order Month</t>
  </si>
  <si>
    <t>Quarter</t>
  </si>
  <si>
    <t xml:space="preserve"> </t>
  </si>
  <si>
    <t>Total Sales</t>
  </si>
  <si>
    <t>Total Profit</t>
  </si>
  <si>
    <t>Total Orders</t>
  </si>
  <si>
    <t>Average Discount</t>
  </si>
  <si>
    <t>Average of Days</t>
  </si>
  <si>
    <t>Sales by category</t>
  </si>
  <si>
    <t>Sales by sub- category</t>
  </si>
  <si>
    <t>profit by sub- category</t>
  </si>
  <si>
    <t>sales trends</t>
  </si>
  <si>
    <t>sales by region</t>
  </si>
  <si>
    <t>profit by region</t>
  </si>
  <si>
    <t>Average shipping days</t>
  </si>
  <si>
    <t>profit by Category</t>
  </si>
  <si>
    <t xml:space="preserve"> average shipping dates</t>
  </si>
  <si>
    <t>Average of Discount</t>
  </si>
  <si>
    <t>average discount</t>
  </si>
  <si>
    <t>total orders</t>
  </si>
  <si>
    <t>Count of  Order ID</t>
  </si>
  <si>
    <t>Profit Margin</t>
  </si>
  <si>
    <t>profit Status</t>
  </si>
  <si>
    <t>Discount Band</t>
  </si>
  <si>
    <t>Shipping Performance</t>
  </si>
  <si>
    <t>total proift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</si>
</sst>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4"/>
      <color theme="1"/>
      <name val="Times New Roman"/>
      <family val="1"/>
    </font>
    <font>
      <b/>
      <sz val="18"/>
      <color theme="1"/>
      <name val="Times New Roman"/>
      <family val="1"/>
    </font>
    <font>
      <b/>
      <sz val="18"/>
      <color theme="1"/>
      <name val="Calibri"/>
      <family val="2"/>
      <scheme val="minor"/>
    </font>
    <font>
      <b/>
      <sz val="20"/>
      <color theme="1"/>
      <name val="Times New Roman"/>
      <family val="1"/>
    </font>
    <font>
      <b/>
      <sz val="20"/>
      <color theme="1"/>
      <name val="Calibri"/>
      <family val="2"/>
      <scheme val="minor"/>
    </font>
    <font>
      <b/>
      <sz val="22"/>
      <color theme="8" tint="0.59999389629810485"/>
      <name val="Times New Roman"/>
      <family val="1"/>
    </font>
    <font>
      <b/>
      <sz val="11"/>
      <color theme="8" tint="0.59999389629810485"/>
      <name val="Calibri"/>
      <family val="2"/>
      <scheme val="minor"/>
    </font>
    <font>
      <sz val="11"/>
      <color theme="8" tint="0.59999389629810485"/>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14" fontId="0" fillId="0" borderId="0" xfId="0" applyNumberFormat="1"/>
    <xf numFmtId="0" fontId="16" fillId="0" borderId="0" xfId="0" applyFont="1"/>
    <xf numFmtId="2" fontId="16" fillId="0" borderId="0" xfId="0" applyNumberFormat="1" applyFont="1"/>
    <xf numFmtId="2" fontId="0" fillId="0" borderId="0" xfId="0" applyNumberFormat="1"/>
    <xf numFmtId="14" fontId="16" fillId="0" borderId="0" xfId="0" applyNumberFormat="1" applyFont="1"/>
    <xf numFmtId="49" fontId="16" fillId="0" borderId="0" xfId="0" applyNumberFormat="1" applyFont="1"/>
    <xf numFmtId="49" fontId="0" fillId="0" borderId="0" xfId="0" applyNumberFormat="1"/>
    <xf numFmtId="164" fontId="16" fillId="0" borderId="0" xfId="0" applyNumberFormat="1" applyFont="1"/>
    <xf numFmtId="164" fontId="0" fillId="0" borderId="0" xfId="0" applyNumberFormat="1"/>
    <xf numFmtId="10" fontId="0" fillId="0" borderId="0" xfId="0" applyNumberFormat="1"/>
    <xf numFmtId="9" fontId="16" fillId="0" borderId="0" xfId="0" applyNumberFormat="1" applyFont="1"/>
    <xf numFmtId="9" fontId="0" fillId="0" borderId="0" xfId="0" applyNumberFormat="1"/>
    <xf numFmtId="1" fontId="0" fillId="0" borderId="0" xfId="0" applyNumberFormat="1"/>
    <xf numFmtId="1" fontId="16" fillId="0" borderId="0" xfId="0" applyNumberFormat="1" applyFont="1"/>
    <xf numFmtId="0" fontId="0" fillId="0" borderId="0" xfId="0" applyNumberFormat="1"/>
    <xf numFmtId="0" fontId="0" fillId="0" borderId="0" xfId="0" pivotButton="1"/>
    <xf numFmtId="0" fontId="0" fillId="0" borderId="0" xfId="0" applyAlignment="1">
      <alignment horizontal="left"/>
    </xf>
    <xf numFmtId="0" fontId="19" fillId="0" borderId="0" xfId="0" applyFont="1"/>
    <xf numFmtId="0" fontId="20" fillId="0" borderId="0" xfId="0" applyFont="1"/>
    <xf numFmtId="0" fontId="21" fillId="0" borderId="0" xfId="0" applyFont="1"/>
    <xf numFmtId="164" fontId="21" fillId="0" borderId="0" xfId="0" applyNumberFormat="1" applyFont="1"/>
    <xf numFmtId="9" fontId="21" fillId="0" borderId="0" xfId="0" applyNumberFormat="1" applyFont="1"/>
    <xf numFmtId="0" fontId="16" fillId="0" borderId="0" xfId="0" applyFont="1" applyAlignment="1">
      <alignment horizontal="left"/>
    </xf>
    <xf numFmtId="0" fontId="22" fillId="0" borderId="0" xfId="0" applyFont="1"/>
    <xf numFmtId="1" fontId="23" fillId="0" borderId="0" xfId="0" applyNumberFormat="1" applyFont="1"/>
    <xf numFmtId="1" fontId="21" fillId="0" borderId="0" xfId="0" applyNumberFormat="1" applyFont="1"/>
    <xf numFmtId="0" fontId="24" fillId="0" borderId="0" xfId="0" applyFont="1" applyFill="1" applyAlignment="1">
      <alignment horizontal="left"/>
    </xf>
    <xf numFmtId="0" fontId="25" fillId="0" borderId="0" xfId="0" applyFont="1" applyFill="1" applyAlignment="1">
      <alignment horizontal="left"/>
    </xf>
    <xf numFmtId="0" fontId="26" fillId="0" borderId="0" xfId="0" applyFont="1" applyFill="1" applyAlignment="1">
      <alignment horizontal="center"/>
    </xf>
    <xf numFmtId="0" fontId="26" fillId="0" borderId="0" xfId="0" applyFont="1" applyFill="1"/>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5">
    <dxf>
      <numFmt numFmtId="2" formatCode="0.00"/>
    </dxf>
    <dxf>
      <numFmt numFmtId="2" formatCode="0.00"/>
    </dxf>
    <dxf>
      <numFmt numFmtId="1" formatCode="0"/>
    </dxf>
    <dxf>
      <numFmt numFmtId="164" formatCode="&quot;$&quot;#,##0.00"/>
    </dxf>
    <dxf>
      <numFmt numFmtId="14" formatCode="0.00%"/>
    </dxf>
    <dxf>
      <numFmt numFmtId="14" formatCode="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1" formatCode="0"/>
    </dxf>
    <dxf>
      <numFmt numFmtId="164" formatCode="&quot;$&quot;#,##0.00"/>
    </dxf>
    <dxf>
      <numFmt numFmtId="14" formatCode="0.00%"/>
    </dxf>
    <dxf>
      <numFmt numFmtId="14" formatCode="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164" formatCode="&quot;$&quot;#,##0.00"/>
    </dxf>
    <dxf>
      <numFmt numFmtId="2" formatCode="0.00"/>
    </dxf>
    <dxf>
      <numFmt numFmtId="2" formatCode="0.00"/>
    </dxf>
    <dxf>
      <numFmt numFmtId="1" formatCode="0"/>
    </dxf>
    <dxf>
      <numFmt numFmtId="164" formatCode="&quot;$&quot;#,##0.00"/>
    </dxf>
    <dxf>
      <numFmt numFmtId="14" formatCode="0.00%"/>
    </dxf>
    <dxf>
      <numFmt numFmtId="14" formatCode="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1" formatCode="0"/>
    </dxf>
    <dxf>
      <numFmt numFmtId="164" formatCode="&quot;$&quot;#,##0.00"/>
    </dxf>
    <dxf>
      <numFmt numFmtId="14" formatCode="0.00%"/>
    </dxf>
    <dxf>
      <numFmt numFmtId="14" formatCode="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1" formatCode="0"/>
    </dxf>
    <dxf>
      <numFmt numFmtId="164" formatCode="&quot;$&quot;#,##0.00"/>
    </dxf>
    <dxf>
      <numFmt numFmtId="14" formatCode="0.00%"/>
    </dxf>
    <dxf>
      <numFmt numFmtId="14" formatCode="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1" formatCode="0"/>
    </dxf>
    <dxf>
      <numFmt numFmtId="164" formatCode="&quot;$&quot;#,##0.00"/>
    </dxf>
    <dxf>
      <numFmt numFmtId="14" formatCode="0.00%"/>
    </dxf>
    <dxf>
      <numFmt numFmtId="14" formatCode="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2" formatCode="0.00"/>
    </dxf>
    <dxf>
      <numFmt numFmtId="1"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2" formatCode="0.00"/>
    </dxf>
    <dxf>
      <numFmt numFmtId="1"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4" formatCode="0.00%"/>
    </dxf>
    <dxf>
      <numFmt numFmtId="164" formatCode="&quot;$&quot;#,##0.00"/>
    </dxf>
    <dxf>
      <numFmt numFmtId="164" formatCode="&quot;$&quot;#,##0.00"/>
    </dxf>
    <dxf>
      <numFmt numFmtId="2" formatCode="0.00"/>
    </dxf>
    <dxf>
      <numFmt numFmtId="2" formatCode="0.00"/>
    </dxf>
    <dxf>
      <numFmt numFmtId="164" formatCode="&quot;$&quot;#,##0.00"/>
    </dxf>
    <dxf>
      <numFmt numFmtId="2" formatCode="0.00"/>
    </dxf>
    <dxf>
      <numFmt numFmtId="2" formatCode="0.00"/>
    </dxf>
    <dxf>
      <numFmt numFmtId="2" formatCode="0.00"/>
    </dxf>
    <dxf>
      <numFmt numFmtId="1"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4" formatCode="0.00%"/>
    </dxf>
    <dxf>
      <numFmt numFmtId="2" formatCode="0.00"/>
    </dxf>
    <dxf>
      <numFmt numFmtId="2" formatCode="0.00"/>
    </dxf>
    <dxf>
      <numFmt numFmtId="164" formatCode="&quot;$&quot;#,##0.00"/>
    </dxf>
    <dxf>
      <numFmt numFmtId="2" formatCode="0.00"/>
    </dxf>
    <dxf>
      <numFmt numFmtId="2" formatCode="0.00"/>
    </dxf>
    <dxf>
      <numFmt numFmtId="1" formatCode="0"/>
    </dxf>
    <dxf>
      <numFmt numFmtId="164" formatCode="&quot;$&quot;#,##0.00"/>
    </dxf>
    <dxf>
      <numFmt numFmtId="14" formatCode="0.00%"/>
    </dxf>
    <dxf>
      <numFmt numFmtId="14" formatCode="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164" formatCode="&quot;$&quot;#,##0.00"/>
    </dxf>
    <dxf>
      <numFmt numFmtId="13" formatCode="0%"/>
    </dxf>
    <dxf>
      <numFmt numFmtId="2" formatCode="0.00"/>
    </dxf>
    <dxf>
      <numFmt numFmtId="164" formatCode="&quot;$&quot;#,##0.00"/>
    </dxf>
    <dxf>
      <numFmt numFmtId="30" formatCode="@"/>
    </dxf>
    <dxf>
      <numFmt numFmtId="30" formatCode="@"/>
    </dxf>
    <dxf>
      <numFmt numFmtId="19" formatCode="m/d/yyyy"/>
    </dxf>
    <dxf>
      <numFmt numFmtId="1" formatCode="0"/>
    </dxf>
    <dxf>
      <numFmt numFmtId="1" formatCode="0"/>
    </dxf>
    <dxf>
      <numFmt numFmtId="1" formatCode="0"/>
    </dxf>
    <dxf>
      <numFmt numFmtId="1" formatCode="0"/>
    </dxf>
    <dxf>
      <numFmt numFmtId="1" formatCode="0"/>
    </dxf>
    <dxf>
      <numFmt numFmtId="19" formatCode="m/d/yyyy"/>
    </dxf>
    <dxf>
      <numFmt numFmtId="19" formatCode="m/d/yyyy"/>
    </dxf>
    <dxf>
      <numFmt numFmtId="2" formatCode="0.0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[superstore_sales_dataset project.xlsx]PIVOT TABLE!PivotTable29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TABLE'!$A$4:$A$5</c:f>
              <c:strCache>
                <c:ptCount val="1"/>
                <c:pt idx="0">
                  <c:v>Furniture</c:v>
                </c:pt>
              </c:strCache>
            </c:strRef>
          </c:cat>
          <c:val>
            <c:numRef>
              <c:f>'PIVOT TABLE'!$B$4:$B$5</c:f>
              <c:numCache>
                <c:formatCode>"$"#,##0.00</c:formatCode>
                <c:ptCount val="1"/>
                <c:pt idx="0">
                  <c:v>30924.560000000001</c:v>
                </c:pt>
              </c:numCache>
            </c:numRef>
          </c:val>
          <c:extLst>
            <c:ext xmlns:c16="http://schemas.microsoft.com/office/drawing/2014/chart" uri="{C3380CC4-5D6E-409C-BE32-E72D297353CC}">
              <c16:uniqueId val="{00000000-D0FA-46F4-9E9E-AFEDADDD0D9B}"/>
            </c:ext>
          </c:extLst>
        </c:ser>
        <c:dLbls>
          <c:showLegendKey val="0"/>
          <c:showVal val="0"/>
          <c:showCatName val="0"/>
          <c:showSerName val="0"/>
          <c:showPercent val="0"/>
          <c:showBubbleSize val="0"/>
        </c:dLbls>
        <c:gapWidth val="219"/>
        <c:overlap val="-27"/>
        <c:axId val="1714679087"/>
        <c:axId val="1714676175"/>
      </c:barChart>
      <c:catAx>
        <c:axId val="1714679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676175"/>
        <c:crosses val="autoZero"/>
        <c:auto val="1"/>
        <c:lblAlgn val="ctr"/>
        <c:lblOffset val="100"/>
        <c:noMultiLvlLbl val="0"/>
      </c:catAx>
      <c:valAx>
        <c:axId val="1714676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67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[superstore_sales_dataset project.xlsx]PIVOT TABLE!PivotTable31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TABLE'!$A$13:$A$14</c:f>
              <c:strCache>
                <c:ptCount val="1"/>
                <c:pt idx="0">
                  <c:v>Furniture</c:v>
                </c:pt>
              </c:strCache>
            </c:strRef>
          </c:cat>
          <c:val>
            <c:numRef>
              <c:f>'PIVOT TABLE'!$B$13:$B$14</c:f>
              <c:numCache>
                <c:formatCode>"$"#,##0.00</c:formatCode>
                <c:ptCount val="1"/>
                <c:pt idx="0">
                  <c:v>-811.36000000000013</c:v>
                </c:pt>
              </c:numCache>
            </c:numRef>
          </c:val>
          <c:extLst>
            <c:ext xmlns:c16="http://schemas.microsoft.com/office/drawing/2014/chart" uri="{C3380CC4-5D6E-409C-BE32-E72D297353CC}">
              <c16:uniqueId val="{00000000-8C69-4B94-BDED-056A45795DF9}"/>
            </c:ext>
          </c:extLst>
        </c:ser>
        <c:dLbls>
          <c:showLegendKey val="0"/>
          <c:showVal val="0"/>
          <c:showCatName val="0"/>
          <c:showSerName val="0"/>
          <c:showPercent val="0"/>
          <c:showBubbleSize val="0"/>
        </c:dLbls>
        <c:gapWidth val="182"/>
        <c:axId val="1713769503"/>
        <c:axId val="1713779903"/>
      </c:barChart>
      <c:catAx>
        <c:axId val="17137695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779903"/>
        <c:crosses val="autoZero"/>
        <c:auto val="1"/>
        <c:lblAlgn val="ctr"/>
        <c:lblOffset val="100"/>
        <c:noMultiLvlLbl val="0"/>
      </c:catAx>
      <c:valAx>
        <c:axId val="1713779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76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[superstore_sales_dataset project.xlsx]PIVOT TABLE!PivotTable35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TABLE'!$A$21:$A$25</c:f>
              <c:strCache>
                <c:ptCount val="4"/>
                <c:pt idx="0">
                  <c:v>Central</c:v>
                </c:pt>
                <c:pt idx="1">
                  <c:v>East</c:v>
                </c:pt>
                <c:pt idx="2">
                  <c:v>South</c:v>
                </c:pt>
                <c:pt idx="3">
                  <c:v>West</c:v>
                </c:pt>
              </c:strCache>
            </c:strRef>
          </c:cat>
          <c:val>
            <c:numRef>
              <c:f>'PIVOT TABLE'!$B$21:$B$25</c:f>
              <c:numCache>
                <c:formatCode>"$"#,##0.00</c:formatCode>
                <c:ptCount val="4"/>
                <c:pt idx="0">
                  <c:v>3920.6100000000006</c:v>
                </c:pt>
                <c:pt idx="1">
                  <c:v>9983.7199999999993</c:v>
                </c:pt>
                <c:pt idx="2">
                  <c:v>10730.8</c:v>
                </c:pt>
                <c:pt idx="3">
                  <c:v>6289.43</c:v>
                </c:pt>
              </c:numCache>
            </c:numRef>
          </c:val>
          <c:extLst>
            <c:ext xmlns:c16="http://schemas.microsoft.com/office/drawing/2014/chart" uri="{C3380CC4-5D6E-409C-BE32-E72D297353CC}">
              <c16:uniqueId val="{00000000-0CD2-4DCA-AB2B-11CD609FD9FE}"/>
            </c:ext>
          </c:extLst>
        </c:ser>
        <c:dLbls>
          <c:showLegendKey val="0"/>
          <c:showVal val="0"/>
          <c:showCatName val="0"/>
          <c:showSerName val="0"/>
          <c:showPercent val="0"/>
          <c:showBubbleSize val="0"/>
        </c:dLbls>
        <c:gapWidth val="219"/>
        <c:overlap val="-27"/>
        <c:axId val="1721380191"/>
        <c:axId val="1721378943"/>
      </c:barChart>
      <c:catAx>
        <c:axId val="1721380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78943"/>
        <c:crosses val="autoZero"/>
        <c:auto val="1"/>
        <c:lblAlgn val="ctr"/>
        <c:lblOffset val="100"/>
        <c:noMultiLvlLbl val="0"/>
      </c:catAx>
      <c:valAx>
        <c:axId val="17213789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8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[superstore_sales_dataset project.xlsx]PIVOT TABLE!PivotTable34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a:t>
            </a:r>
            <a:r>
              <a:rPr lang="en-US" baseline="0"/>
              <a:t>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TABLE'!$N$3:$N$4</c:f>
              <c:strCache>
                <c:ptCount val="1"/>
                <c:pt idx="0">
                  <c:v>2023</c:v>
                </c:pt>
              </c:strCache>
            </c:strRef>
          </c:tx>
          <c:spPr>
            <a:ln w="28575" cap="rnd">
              <a:solidFill>
                <a:schemeClr val="accent1"/>
              </a:solidFill>
              <a:round/>
            </a:ln>
            <a:effectLst/>
          </c:spPr>
          <c:marker>
            <c:symbol val="none"/>
          </c:marker>
          <c:cat>
            <c:strRef>
              <c:f>'PIVOT TABLE'!$M$5:$M$17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TABLE'!$N$5:$N$17</c:f>
              <c:numCache>
                <c:formatCode>"$"#,##0.00</c:formatCode>
                <c:ptCount val="12"/>
                <c:pt idx="0">
                  <c:v>-258.12</c:v>
                </c:pt>
                <c:pt idx="1">
                  <c:v>-109.19</c:v>
                </c:pt>
                <c:pt idx="2">
                  <c:v>-16.179999999999996</c:v>
                </c:pt>
                <c:pt idx="3">
                  <c:v>40.5</c:v>
                </c:pt>
                <c:pt idx="4">
                  <c:v>9.1700000000000017</c:v>
                </c:pt>
                <c:pt idx="5">
                  <c:v>-170.18</c:v>
                </c:pt>
                <c:pt idx="6">
                  <c:v>-49.169999999999995</c:v>
                </c:pt>
                <c:pt idx="7">
                  <c:v>-199.38</c:v>
                </c:pt>
                <c:pt idx="8">
                  <c:v>-124.83</c:v>
                </c:pt>
                <c:pt idx="9">
                  <c:v>109.64999999999999</c:v>
                </c:pt>
                <c:pt idx="10">
                  <c:v>-16.220000000000002</c:v>
                </c:pt>
                <c:pt idx="11">
                  <c:v>-27.41</c:v>
                </c:pt>
              </c:numCache>
            </c:numRef>
          </c:val>
          <c:smooth val="0"/>
          <c:extLst>
            <c:ext xmlns:c16="http://schemas.microsoft.com/office/drawing/2014/chart" uri="{C3380CC4-5D6E-409C-BE32-E72D297353CC}">
              <c16:uniqueId val="{00000000-51D4-4075-9DB1-93CCA7EB38D9}"/>
            </c:ext>
          </c:extLst>
        </c:ser>
        <c:dLbls>
          <c:showLegendKey val="0"/>
          <c:showVal val="0"/>
          <c:showCatName val="0"/>
          <c:showSerName val="0"/>
          <c:showPercent val="0"/>
          <c:showBubbleSize val="0"/>
        </c:dLbls>
        <c:smooth val="0"/>
        <c:axId val="1714662447"/>
        <c:axId val="1714675759"/>
      </c:lineChart>
      <c:catAx>
        <c:axId val="1714662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675759"/>
        <c:crosses val="autoZero"/>
        <c:auto val="1"/>
        <c:lblAlgn val="ctr"/>
        <c:lblOffset val="100"/>
        <c:noMultiLvlLbl val="0"/>
      </c:catAx>
      <c:valAx>
        <c:axId val="17146757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66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63500" dist="50800" dir="135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margin vs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9.6153524816552038E-2"/>
                  <c:y val="-0.1545614531996450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 dataset'!$O$2:$O$501</c:f>
              <c:numCache>
                <c:formatCode>0%</c:formatCode>
                <c:ptCount val="500"/>
                <c:pt idx="0">
                  <c:v>0</c:v>
                </c:pt>
                <c:pt idx="1">
                  <c:v>0</c:v>
                </c:pt>
                <c:pt idx="2">
                  <c:v>0.2</c:v>
                </c:pt>
                <c:pt idx="3">
                  <c:v>0.3</c:v>
                </c:pt>
                <c:pt idx="4">
                  <c:v>0.1</c:v>
                </c:pt>
                <c:pt idx="5">
                  <c:v>0.1</c:v>
                </c:pt>
                <c:pt idx="6">
                  <c:v>0.3</c:v>
                </c:pt>
                <c:pt idx="7">
                  <c:v>0</c:v>
                </c:pt>
                <c:pt idx="8">
                  <c:v>0.1</c:v>
                </c:pt>
                <c:pt idx="9">
                  <c:v>0.2</c:v>
                </c:pt>
                <c:pt idx="10">
                  <c:v>0.2</c:v>
                </c:pt>
                <c:pt idx="11">
                  <c:v>0</c:v>
                </c:pt>
                <c:pt idx="12">
                  <c:v>0</c:v>
                </c:pt>
                <c:pt idx="13">
                  <c:v>0</c:v>
                </c:pt>
                <c:pt idx="14">
                  <c:v>0</c:v>
                </c:pt>
                <c:pt idx="15">
                  <c:v>0.3</c:v>
                </c:pt>
                <c:pt idx="16">
                  <c:v>0</c:v>
                </c:pt>
                <c:pt idx="17">
                  <c:v>0</c:v>
                </c:pt>
                <c:pt idx="18">
                  <c:v>0.1</c:v>
                </c:pt>
                <c:pt idx="19">
                  <c:v>0.3</c:v>
                </c:pt>
                <c:pt idx="20">
                  <c:v>0.1</c:v>
                </c:pt>
                <c:pt idx="21">
                  <c:v>0.3</c:v>
                </c:pt>
                <c:pt idx="22">
                  <c:v>0.3</c:v>
                </c:pt>
                <c:pt idx="23">
                  <c:v>0.1</c:v>
                </c:pt>
                <c:pt idx="24">
                  <c:v>0.1</c:v>
                </c:pt>
                <c:pt idx="25">
                  <c:v>0</c:v>
                </c:pt>
                <c:pt idx="26">
                  <c:v>0</c:v>
                </c:pt>
                <c:pt idx="27">
                  <c:v>0</c:v>
                </c:pt>
                <c:pt idx="28">
                  <c:v>0.3</c:v>
                </c:pt>
                <c:pt idx="29">
                  <c:v>0.2</c:v>
                </c:pt>
                <c:pt idx="30">
                  <c:v>0</c:v>
                </c:pt>
                <c:pt idx="31">
                  <c:v>0.1</c:v>
                </c:pt>
                <c:pt idx="32">
                  <c:v>0.3</c:v>
                </c:pt>
                <c:pt idx="33">
                  <c:v>0.2</c:v>
                </c:pt>
                <c:pt idx="34">
                  <c:v>0.2</c:v>
                </c:pt>
                <c:pt idx="35">
                  <c:v>0.2</c:v>
                </c:pt>
                <c:pt idx="36">
                  <c:v>0.1</c:v>
                </c:pt>
                <c:pt idx="37">
                  <c:v>0.2</c:v>
                </c:pt>
                <c:pt idx="38">
                  <c:v>0</c:v>
                </c:pt>
                <c:pt idx="39">
                  <c:v>0.3</c:v>
                </c:pt>
                <c:pt idx="40">
                  <c:v>0.2</c:v>
                </c:pt>
                <c:pt idx="41">
                  <c:v>0.3</c:v>
                </c:pt>
                <c:pt idx="42">
                  <c:v>0</c:v>
                </c:pt>
                <c:pt idx="43">
                  <c:v>0</c:v>
                </c:pt>
                <c:pt idx="44">
                  <c:v>0.1</c:v>
                </c:pt>
                <c:pt idx="45">
                  <c:v>0.1</c:v>
                </c:pt>
                <c:pt idx="46">
                  <c:v>0.3</c:v>
                </c:pt>
                <c:pt idx="47">
                  <c:v>0.1</c:v>
                </c:pt>
                <c:pt idx="48">
                  <c:v>0.3</c:v>
                </c:pt>
                <c:pt idx="49">
                  <c:v>0</c:v>
                </c:pt>
                <c:pt idx="50">
                  <c:v>0.3</c:v>
                </c:pt>
                <c:pt idx="51">
                  <c:v>0.1</c:v>
                </c:pt>
                <c:pt idx="52">
                  <c:v>0</c:v>
                </c:pt>
                <c:pt idx="53">
                  <c:v>0.3</c:v>
                </c:pt>
                <c:pt idx="54">
                  <c:v>0.3</c:v>
                </c:pt>
                <c:pt idx="55">
                  <c:v>0.1</c:v>
                </c:pt>
                <c:pt idx="56">
                  <c:v>0.1</c:v>
                </c:pt>
                <c:pt idx="57">
                  <c:v>0</c:v>
                </c:pt>
                <c:pt idx="58">
                  <c:v>0</c:v>
                </c:pt>
                <c:pt idx="59">
                  <c:v>0.2</c:v>
                </c:pt>
                <c:pt idx="60">
                  <c:v>0.2</c:v>
                </c:pt>
                <c:pt idx="61">
                  <c:v>0.1</c:v>
                </c:pt>
                <c:pt idx="62">
                  <c:v>0.3</c:v>
                </c:pt>
                <c:pt idx="63">
                  <c:v>0</c:v>
                </c:pt>
                <c:pt idx="64">
                  <c:v>0.3</c:v>
                </c:pt>
                <c:pt idx="65">
                  <c:v>0.2</c:v>
                </c:pt>
                <c:pt idx="66">
                  <c:v>0.3</c:v>
                </c:pt>
                <c:pt idx="67">
                  <c:v>0.2</c:v>
                </c:pt>
                <c:pt idx="68">
                  <c:v>0.2</c:v>
                </c:pt>
                <c:pt idx="69">
                  <c:v>0.3</c:v>
                </c:pt>
                <c:pt idx="70">
                  <c:v>0</c:v>
                </c:pt>
                <c:pt idx="71">
                  <c:v>0.3</c:v>
                </c:pt>
                <c:pt idx="72">
                  <c:v>0</c:v>
                </c:pt>
                <c:pt idx="73">
                  <c:v>0.1</c:v>
                </c:pt>
                <c:pt idx="74">
                  <c:v>0.1</c:v>
                </c:pt>
                <c:pt idx="75">
                  <c:v>0</c:v>
                </c:pt>
                <c:pt idx="76">
                  <c:v>0.3</c:v>
                </c:pt>
                <c:pt idx="77">
                  <c:v>0.2</c:v>
                </c:pt>
                <c:pt idx="78">
                  <c:v>0.3</c:v>
                </c:pt>
                <c:pt idx="79">
                  <c:v>0.1</c:v>
                </c:pt>
                <c:pt idx="80">
                  <c:v>0.2</c:v>
                </c:pt>
                <c:pt idx="81">
                  <c:v>0.3</c:v>
                </c:pt>
                <c:pt idx="82">
                  <c:v>0.1</c:v>
                </c:pt>
                <c:pt idx="83">
                  <c:v>0.1</c:v>
                </c:pt>
                <c:pt idx="84">
                  <c:v>0.1</c:v>
                </c:pt>
                <c:pt idx="85">
                  <c:v>0.3</c:v>
                </c:pt>
                <c:pt idx="86">
                  <c:v>0</c:v>
                </c:pt>
                <c:pt idx="87">
                  <c:v>0.3</c:v>
                </c:pt>
                <c:pt idx="88">
                  <c:v>0</c:v>
                </c:pt>
                <c:pt idx="89">
                  <c:v>0.1</c:v>
                </c:pt>
                <c:pt idx="90">
                  <c:v>0.1</c:v>
                </c:pt>
                <c:pt idx="91">
                  <c:v>0.3</c:v>
                </c:pt>
                <c:pt idx="92">
                  <c:v>0.1</c:v>
                </c:pt>
                <c:pt idx="93">
                  <c:v>0</c:v>
                </c:pt>
                <c:pt idx="94">
                  <c:v>0.2</c:v>
                </c:pt>
                <c:pt idx="95">
                  <c:v>0.3</c:v>
                </c:pt>
                <c:pt idx="96">
                  <c:v>0</c:v>
                </c:pt>
                <c:pt idx="97">
                  <c:v>0.3</c:v>
                </c:pt>
                <c:pt idx="98">
                  <c:v>0</c:v>
                </c:pt>
                <c:pt idx="99">
                  <c:v>0.3</c:v>
                </c:pt>
                <c:pt idx="100">
                  <c:v>0</c:v>
                </c:pt>
                <c:pt idx="101">
                  <c:v>0.2</c:v>
                </c:pt>
                <c:pt idx="102">
                  <c:v>0.2</c:v>
                </c:pt>
                <c:pt idx="103">
                  <c:v>0.1</c:v>
                </c:pt>
                <c:pt idx="104">
                  <c:v>0.1</c:v>
                </c:pt>
                <c:pt idx="105">
                  <c:v>0.1</c:v>
                </c:pt>
                <c:pt idx="106">
                  <c:v>0</c:v>
                </c:pt>
                <c:pt idx="107">
                  <c:v>0.2</c:v>
                </c:pt>
                <c:pt idx="108">
                  <c:v>0.2</c:v>
                </c:pt>
                <c:pt idx="109">
                  <c:v>0.3</c:v>
                </c:pt>
                <c:pt idx="110">
                  <c:v>0</c:v>
                </c:pt>
                <c:pt idx="111">
                  <c:v>0.1</c:v>
                </c:pt>
                <c:pt idx="112">
                  <c:v>0.2</c:v>
                </c:pt>
                <c:pt idx="113">
                  <c:v>0.3</c:v>
                </c:pt>
                <c:pt idx="114">
                  <c:v>0</c:v>
                </c:pt>
                <c:pt idx="115">
                  <c:v>0.1</c:v>
                </c:pt>
                <c:pt idx="116">
                  <c:v>0.3</c:v>
                </c:pt>
                <c:pt idx="117">
                  <c:v>0.2</c:v>
                </c:pt>
                <c:pt idx="118">
                  <c:v>0</c:v>
                </c:pt>
                <c:pt idx="119">
                  <c:v>0.2</c:v>
                </c:pt>
                <c:pt idx="120">
                  <c:v>0.3</c:v>
                </c:pt>
                <c:pt idx="121">
                  <c:v>0.3</c:v>
                </c:pt>
                <c:pt idx="122">
                  <c:v>0.3</c:v>
                </c:pt>
                <c:pt idx="123">
                  <c:v>0.3</c:v>
                </c:pt>
                <c:pt idx="124">
                  <c:v>0.2</c:v>
                </c:pt>
                <c:pt idx="125">
                  <c:v>0.1</c:v>
                </c:pt>
                <c:pt idx="126">
                  <c:v>0</c:v>
                </c:pt>
                <c:pt idx="127">
                  <c:v>0.2</c:v>
                </c:pt>
                <c:pt idx="128">
                  <c:v>0.3</c:v>
                </c:pt>
                <c:pt idx="129">
                  <c:v>0</c:v>
                </c:pt>
                <c:pt idx="130">
                  <c:v>0.2</c:v>
                </c:pt>
                <c:pt idx="131">
                  <c:v>0.2</c:v>
                </c:pt>
                <c:pt idx="132">
                  <c:v>0</c:v>
                </c:pt>
                <c:pt idx="133">
                  <c:v>0.3</c:v>
                </c:pt>
                <c:pt idx="134">
                  <c:v>0.1</c:v>
                </c:pt>
                <c:pt idx="135">
                  <c:v>0.3</c:v>
                </c:pt>
                <c:pt idx="136">
                  <c:v>0.2</c:v>
                </c:pt>
                <c:pt idx="137">
                  <c:v>0</c:v>
                </c:pt>
                <c:pt idx="138">
                  <c:v>0</c:v>
                </c:pt>
                <c:pt idx="139">
                  <c:v>0.1</c:v>
                </c:pt>
                <c:pt idx="140">
                  <c:v>0</c:v>
                </c:pt>
                <c:pt idx="141">
                  <c:v>0.3</c:v>
                </c:pt>
                <c:pt idx="142">
                  <c:v>0</c:v>
                </c:pt>
                <c:pt idx="143">
                  <c:v>0.3</c:v>
                </c:pt>
                <c:pt idx="144">
                  <c:v>0.3</c:v>
                </c:pt>
                <c:pt idx="145">
                  <c:v>0.2</c:v>
                </c:pt>
                <c:pt idx="146">
                  <c:v>0</c:v>
                </c:pt>
                <c:pt idx="147">
                  <c:v>0</c:v>
                </c:pt>
                <c:pt idx="148">
                  <c:v>0.1</c:v>
                </c:pt>
                <c:pt idx="149">
                  <c:v>0.2</c:v>
                </c:pt>
                <c:pt idx="150">
                  <c:v>0.1</c:v>
                </c:pt>
                <c:pt idx="151">
                  <c:v>0.2</c:v>
                </c:pt>
                <c:pt idx="152">
                  <c:v>0</c:v>
                </c:pt>
                <c:pt idx="153">
                  <c:v>0.3</c:v>
                </c:pt>
                <c:pt idx="154">
                  <c:v>0</c:v>
                </c:pt>
                <c:pt idx="155">
                  <c:v>0.3</c:v>
                </c:pt>
                <c:pt idx="156">
                  <c:v>0.3</c:v>
                </c:pt>
                <c:pt idx="157">
                  <c:v>0.3</c:v>
                </c:pt>
                <c:pt idx="158">
                  <c:v>0</c:v>
                </c:pt>
                <c:pt idx="159">
                  <c:v>0.2</c:v>
                </c:pt>
                <c:pt idx="160">
                  <c:v>0</c:v>
                </c:pt>
                <c:pt idx="161">
                  <c:v>0</c:v>
                </c:pt>
                <c:pt idx="162">
                  <c:v>0</c:v>
                </c:pt>
                <c:pt idx="163">
                  <c:v>0.2</c:v>
                </c:pt>
                <c:pt idx="164">
                  <c:v>0.1</c:v>
                </c:pt>
                <c:pt idx="165">
                  <c:v>0.1</c:v>
                </c:pt>
                <c:pt idx="166">
                  <c:v>0.2</c:v>
                </c:pt>
                <c:pt idx="167">
                  <c:v>0</c:v>
                </c:pt>
                <c:pt idx="168">
                  <c:v>0</c:v>
                </c:pt>
                <c:pt idx="169">
                  <c:v>0.1</c:v>
                </c:pt>
                <c:pt idx="170">
                  <c:v>0</c:v>
                </c:pt>
                <c:pt idx="171">
                  <c:v>0.2</c:v>
                </c:pt>
                <c:pt idx="172">
                  <c:v>0.1</c:v>
                </c:pt>
                <c:pt idx="173">
                  <c:v>0.1</c:v>
                </c:pt>
                <c:pt idx="174">
                  <c:v>0.1</c:v>
                </c:pt>
                <c:pt idx="175">
                  <c:v>0.1</c:v>
                </c:pt>
                <c:pt idx="176">
                  <c:v>0.2</c:v>
                </c:pt>
                <c:pt idx="177">
                  <c:v>0.1</c:v>
                </c:pt>
                <c:pt idx="178">
                  <c:v>0</c:v>
                </c:pt>
                <c:pt idx="179">
                  <c:v>0.3</c:v>
                </c:pt>
                <c:pt idx="180">
                  <c:v>0.1</c:v>
                </c:pt>
                <c:pt idx="181">
                  <c:v>0.2</c:v>
                </c:pt>
                <c:pt idx="182">
                  <c:v>0</c:v>
                </c:pt>
                <c:pt idx="183">
                  <c:v>0.3</c:v>
                </c:pt>
                <c:pt idx="184">
                  <c:v>0</c:v>
                </c:pt>
                <c:pt idx="185">
                  <c:v>0.3</c:v>
                </c:pt>
                <c:pt idx="186">
                  <c:v>0</c:v>
                </c:pt>
                <c:pt idx="187">
                  <c:v>0</c:v>
                </c:pt>
                <c:pt idx="188">
                  <c:v>0.3</c:v>
                </c:pt>
                <c:pt idx="189">
                  <c:v>0.3</c:v>
                </c:pt>
                <c:pt idx="190">
                  <c:v>0</c:v>
                </c:pt>
                <c:pt idx="191">
                  <c:v>0</c:v>
                </c:pt>
                <c:pt idx="192">
                  <c:v>0.1</c:v>
                </c:pt>
                <c:pt idx="193">
                  <c:v>0.1</c:v>
                </c:pt>
                <c:pt idx="194">
                  <c:v>0</c:v>
                </c:pt>
                <c:pt idx="195">
                  <c:v>0.3</c:v>
                </c:pt>
                <c:pt idx="196">
                  <c:v>0.3</c:v>
                </c:pt>
                <c:pt idx="197">
                  <c:v>0.3</c:v>
                </c:pt>
                <c:pt idx="198">
                  <c:v>0.1</c:v>
                </c:pt>
                <c:pt idx="199">
                  <c:v>0.3</c:v>
                </c:pt>
                <c:pt idx="200">
                  <c:v>0</c:v>
                </c:pt>
                <c:pt idx="201">
                  <c:v>0</c:v>
                </c:pt>
                <c:pt idx="202">
                  <c:v>0.1</c:v>
                </c:pt>
                <c:pt idx="203">
                  <c:v>0.2</c:v>
                </c:pt>
                <c:pt idx="204">
                  <c:v>0.1</c:v>
                </c:pt>
                <c:pt idx="205">
                  <c:v>0.2</c:v>
                </c:pt>
                <c:pt idx="206">
                  <c:v>0</c:v>
                </c:pt>
                <c:pt idx="207">
                  <c:v>0.2</c:v>
                </c:pt>
                <c:pt idx="208">
                  <c:v>0.2</c:v>
                </c:pt>
                <c:pt idx="209">
                  <c:v>0</c:v>
                </c:pt>
                <c:pt idx="210">
                  <c:v>0.2</c:v>
                </c:pt>
                <c:pt idx="211">
                  <c:v>0.2</c:v>
                </c:pt>
                <c:pt idx="212">
                  <c:v>0.2</c:v>
                </c:pt>
                <c:pt idx="213">
                  <c:v>0.2</c:v>
                </c:pt>
                <c:pt idx="214">
                  <c:v>0.1</c:v>
                </c:pt>
                <c:pt idx="215">
                  <c:v>0</c:v>
                </c:pt>
                <c:pt idx="216">
                  <c:v>0</c:v>
                </c:pt>
                <c:pt idx="217">
                  <c:v>0.3</c:v>
                </c:pt>
                <c:pt idx="218">
                  <c:v>0.3</c:v>
                </c:pt>
                <c:pt idx="219">
                  <c:v>0.1</c:v>
                </c:pt>
                <c:pt idx="220">
                  <c:v>0.3</c:v>
                </c:pt>
                <c:pt idx="221">
                  <c:v>0.1</c:v>
                </c:pt>
                <c:pt idx="222">
                  <c:v>0.3</c:v>
                </c:pt>
                <c:pt idx="223">
                  <c:v>0</c:v>
                </c:pt>
                <c:pt idx="224">
                  <c:v>0.2</c:v>
                </c:pt>
                <c:pt idx="225">
                  <c:v>0.1</c:v>
                </c:pt>
                <c:pt idx="226">
                  <c:v>0.1</c:v>
                </c:pt>
                <c:pt idx="227">
                  <c:v>0.1</c:v>
                </c:pt>
                <c:pt idx="228">
                  <c:v>0.3</c:v>
                </c:pt>
                <c:pt idx="229">
                  <c:v>0.1</c:v>
                </c:pt>
                <c:pt idx="230">
                  <c:v>0.3</c:v>
                </c:pt>
                <c:pt idx="231">
                  <c:v>0</c:v>
                </c:pt>
                <c:pt idx="232">
                  <c:v>0.1</c:v>
                </c:pt>
                <c:pt idx="233">
                  <c:v>0.1</c:v>
                </c:pt>
                <c:pt idx="234">
                  <c:v>0.2</c:v>
                </c:pt>
                <c:pt idx="235">
                  <c:v>0.3</c:v>
                </c:pt>
                <c:pt idx="236">
                  <c:v>0.3</c:v>
                </c:pt>
                <c:pt idx="237">
                  <c:v>0</c:v>
                </c:pt>
                <c:pt idx="238">
                  <c:v>0</c:v>
                </c:pt>
                <c:pt idx="239">
                  <c:v>0.2</c:v>
                </c:pt>
                <c:pt idx="240">
                  <c:v>0.3</c:v>
                </c:pt>
                <c:pt idx="241">
                  <c:v>0.1</c:v>
                </c:pt>
                <c:pt idx="242">
                  <c:v>0.1</c:v>
                </c:pt>
                <c:pt idx="243">
                  <c:v>0.1</c:v>
                </c:pt>
                <c:pt idx="244">
                  <c:v>0</c:v>
                </c:pt>
                <c:pt idx="245">
                  <c:v>0.3</c:v>
                </c:pt>
                <c:pt idx="246">
                  <c:v>0</c:v>
                </c:pt>
                <c:pt idx="247">
                  <c:v>0.3</c:v>
                </c:pt>
                <c:pt idx="248">
                  <c:v>0.2</c:v>
                </c:pt>
                <c:pt idx="249">
                  <c:v>0.1</c:v>
                </c:pt>
                <c:pt idx="250">
                  <c:v>0.3</c:v>
                </c:pt>
                <c:pt idx="251">
                  <c:v>0.2</c:v>
                </c:pt>
                <c:pt idx="252">
                  <c:v>0.2</c:v>
                </c:pt>
                <c:pt idx="253">
                  <c:v>0.3</c:v>
                </c:pt>
                <c:pt idx="254">
                  <c:v>0.2</c:v>
                </c:pt>
                <c:pt idx="255">
                  <c:v>0.2</c:v>
                </c:pt>
                <c:pt idx="256">
                  <c:v>0</c:v>
                </c:pt>
                <c:pt idx="257">
                  <c:v>0.1</c:v>
                </c:pt>
                <c:pt idx="258">
                  <c:v>0.3</c:v>
                </c:pt>
                <c:pt idx="259">
                  <c:v>0</c:v>
                </c:pt>
                <c:pt idx="260">
                  <c:v>0.2</c:v>
                </c:pt>
                <c:pt idx="261">
                  <c:v>0.3</c:v>
                </c:pt>
                <c:pt idx="262">
                  <c:v>0</c:v>
                </c:pt>
                <c:pt idx="263">
                  <c:v>0.3</c:v>
                </c:pt>
                <c:pt idx="264">
                  <c:v>0</c:v>
                </c:pt>
                <c:pt idx="265">
                  <c:v>0</c:v>
                </c:pt>
                <c:pt idx="266">
                  <c:v>0.2</c:v>
                </c:pt>
                <c:pt idx="267">
                  <c:v>0.1</c:v>
                </c:pt>
                <c:pt idx="268">
                  <c:v>0.2</c:v>
                </c:pt>
                <c:pt idx="269">
                  <c:v>0.2</c:v>
                </c:pt>
                <c:pt idx="270">
                  <c:v>0.2</c:v>
                </c:pt>
                <c:pt idx="271">
                  <c:v>0.2</c:v>
                </c:pt>
                <c:pt idx="272">
                  <c:v>0</c:v>
                </c:pt>
                <c:pt idx="273">
                  <c:v>0.1</c:v>
                </c:pt>
                <c:pt idx="274">
                  <c:v>0.3</c:v>
                </c:pt>
                <c:pt idx="275">
                  <c:v>0</c:v>
                </c:pt>
                <c:pt idx="276">
                  <c:v>0.2</c:v>
                </c:pt>
                <c:pt idx="277">
                  <c:v>0.3</c:v>
                </c:pt>
                <c:pt idx="278">
                  <c:v>0.3</c:v>
                </c:pt>
                <c:pt idx="279">
                  <c:v>0.2</c:v>
                </c:pt>
                <c:pt idx="280">
                  <c:v>0</c:v>
                </c:pt>
                <c:pt idx="281">
                  <c:v>0</c:v>
                </c:pt>
                <c:pt idx="282">
                  <c:v>0</c:v>
                </c:pt>
                <c:pt idx="283">
                  <c:v>0.2</c:v>
                </c:pt>
                <c:pt idx="284">
                  <c:v>0.2</c:v>
                </c:pt>
                <c:pt idx="285">
                  <c:v>0.2</c:v>
                </c:pt>
                <c:pt idx="286">
                  <c:v>0.1</c:v>
                </c:pt>
                <c:pt idx="287">
                  <c:v>0</c:v>
                </c:pt>
                <c:pt idx="288">
                  <c:v>0.3</c:v>
                </c:pt>
                <c:pt idx="289">
                  <c:v>0.3</c:v>
                </c:pt>
                <c:pt idx="290">
                  <c:v>0.3</c:v>
                </c:pt>
                <c:pt idx="291">
                  <c:v>0.3</c:v>
                </c:pt>
                <c:pt idx="292">
                  <c:v>0</c:v>
                </c:pt>
                <c:pt idx="293">
                  <c:v>0.1</c:v>
                </c:pt>
                <c:pt idx="294">
                  <c:v>0</c:v>
                </c:pt>
                <c:pt idx="295">
                  <c:v>0.3</c:v>
                </c:pt>
                <c:pt idx="296">
                  <c:v>0.1</c:v>
                </c:pt>
                <c:pt idx="297">
                  <c:v>0</c:v>
                </c:pt>
                <c:pt idx="298">
                  <c:v>0.2</c:v>
                </c:pt>
                <c:pt idx="299">
                  <c:v>0.3</c:v>
                </c:pt>
                <c:pt idx="300">
                  <c:v>0.1</c:v>
                </c:pt>
                <c:pt idx="301">
                  <c:v>0.1</c:v>
                </c:pt>
                <c:pt idx="302">
                  <c:v>0</c:v>
                </c:pt>
                <c:pt idx="303">
                  <c:v>0.2</c:v>
                </c:pt>
                <c:pt idx="304">
                  <c:v>0</c:v>
                </c:pt>
                <c:pt idx="305">
                  <c:v>0</c:v>
                </c:pt>
                <c:pt idx="306">
                  <c:v>0.1</c:v>
                </c:pt>
                <c:pt idx="307">
                  <c:v>0.1</c:v>
                </c:pt>
                <c:pt idx="308">
                  <c:v>0.3</c:v>
                </c:pt>
                <c:pt idx="309">
                  <c:v>0.2</c:v>
                </c:pt>
                <c:pt idx="310">
                  <c:v>0.2</c:v>
                </c:pt>
                <c:pt idx="311">
                  <c:v>0.2</c:v>
                </c:pt>
                <c:pt idx="312">
                  <c:v>0.3</c:v>
                </c:pt>
                <c:pt idx="313">
                  <c:v>0.3</c:v>
                </c:pt>
                <c:pt idx="314">
                  <c:v>0.1</c:v>
                </c:pt>
                <c:pt idx="315">
                  <c:v>0.1</c:v>
                </c:pt>
                <c:pt idx="316">
                  <c:v>0</c:v>
                </c:pt>
                <c:pt idx="317">
                  <c:v>0</c:v>
                </c:pt>
                <c:pt idx="318">
                  <c:v>0.3</c:v>
                </c:pt>
                <c:pt idx="319">
                  <c:v>0</c:v>
                </c:pt>
                <c:pt idx="320">
                  <c:v>0.1</c:v>
                </c:pt>
                <c:pt idx="321">
                  <c:v>0</c:v>
                </c:pt>
                <c:pt idx="322">
                  <c:v>0.3</c:v>
                </c:pt>
                <c:pt idx="323">
                  <c:v>0</c:v>
                </c:pt>
                <c:pt idx="324">
                  <c:v>0.1</c:v>
                </c:pt>
                <c:pt idx="325">
                  <c:v>0</c:v>
                </c:pt>
                <c:pt idx="326">
                  <c:v>0.3</c:v>
                </c:pt>
                <c:pt idx="327">
                  <c:v>0</c:v>
                </c:pt>
                <c:pt idx="328">
                  <c:v>0</c:v>
                </c:pt>
                <c:pt idx="329">
                  <c:v>0.3</c:v>
                </c:pt>
                <c:pt idx="330">
                  <c:v>0.1</c:v>
                </c:pt>
                <c:pt idx="331">
                  <c:v>0.2</c:v>
                </c:pt>
                <c:pt idx="332">
                  <c:v>0.3</c:v>
                </c:pt>
                <c:pt idx="333">
                  <c:v>0</c:v>
                </c:pt>
                <c:pt idx="334">
                  <c:v>0.3</c:v>
                </c:pt>
                <c:pt idx="335">
                  <c:v>0.2</c:v>
                </c:pt>
                <c:pt idx="336">
                  <c:v>0</c:v>
                </c:pt>
                <c:pt idx="337">
                  <c:v>0</c:v>
                </c:pt>
                <c:pt idx="338">
                  <c:v>0.3</c:v>
                </c:pt>
                <c:pt idx="339">
                  <c:v>0.2</c:v>
                </c:pt>
                <c:pt idx="340">
                  <c:v>0.2</c:v>
                </c:pt>
                <c:pt idx="341">
                  <c:v>0.1</c:v>
                </c:pt>
                <c:pt idx="342">
                  <c:v>0</c:v>
                </c:pt>
                <c:pt idx="343">
                  <c:v>0.2</c:v>
                </c:pt>
                <c:pt idx="344">
                  <c:v>0.2</c:v>
                </c:pt>
                <c:pt idx="345">
                  <c:v>0</c:v>
                </c:pt>
                <c:pt idx="346">
                  <c:v>0.2</c:v>
                </c:pt>
                <c:pt idx="347">
                  <c:v>0.2</c:v>
                </c:pt>
                <c:pt idx="348">
                  <c:v>0.1</c:v>
                </c:pt>
                <c:pt idx="349">
                  <c:v>0</c:v>
                </c:pt>
                <c:pt idx="350">
                  <c:v>0.1</c:v>
                </c:pt>
                <c:pt idx="351">
                  <c:v>0</c:v>
                </c:pt>
                <c:pt idx="352">
                  <c:v>0.2</c:v>
                </c:pt>
                <c:pt idx="353">
                  <c:v>0</c:v>
                </c:pt>
                <c:pt idx="354">
                  <c:v>0</c:v>
                </c:pt>
                <c:pt idx="355">
                  <c:v>0.2</c:v>
                </c:pt>
                <c:pt idx="356">
                  <c:v>0.3</c:v>
                </c:pt>
                <c:pt idx="357">
                  <c:v>0.3</c:v>
                </c:pt>
                <c:pt idx="358">
                  <c:v>0.2</c:v>
                </c:pt>
                <c:pt idx="359">
                  <c:v>0.1</c:v>
                </c:pt>
                <c:pt idx="360">
                  <c:v>0.2</c:v>
                </c:pt>
                <c:pt idx="361">
                  <c:v>0</c:v>
                </c:pt>
                <c:pt idx="362">
                  <c:v>0.2</c:v>
                </c:pt>
                <c:pt idx="363">
                  <c:v>0.2</c:v>
                </c:pt>
                <c:pt idx="364">
                  <c:v>0.3</c:v>
                </c:pt>
                <c:pt idx="365">
                  <c:v>0.3</c:v>
                </c:pt>
                <c:pt idx="366">
                  <c:v>0.3</c:v>
                </c:pt>
                <c:pt idx="367">
                  <c:v>0.3</c:v>
                </c:pt>
                <c:pt idx="368">
                  <c:v>0.3</c:v>
                </c:pt>
                <c:pt idx="369">
                  <c:v>0.3</c:v>
                </c:pt>
                <c:pt idx="370">
                  <c:v>0.1</c:v>
                </c:pt>
                <c:pt idx="371">
                  <c:v>0</c:v>
                </c:pt>
                <c:pt idx="372">
                  <c:v>0.2</c:v>
                </c:pt>
                <c:pt idx="373">
                  <c:v>0</c:v>
                </c:pt>
                <c:pt idx="374">
                  <c:v>0.2</c:v>
                </c:pt>
                <c:pt idx="375">
                  <c:v>0.1</c:v>
                </c:pt>
                <c:pt idx="376">
                  <c:v>0</c:v>
                </c:pt>
                <c:pt idx="377">
                  <c:v>0.3</c:v>
                </c:pt>
                <c:pt idx="378">
                  <c:v>0</c:v>
                </c:pt>
                <c:pt idx="379">
                  <c:v>0.2</c:v>
                </c:pt>
                <c:pt idx="380">
                  <c:v>0</c:v>
                </c:pt>
                <c:pt idx="381">
                  <c:v>0</c:v>
                </c:pt>
                <c:pt idx="382">
                  <c:v>0.1</c:v>
                </c:pt>
                <c:pt idx="383">
                  <c:v>0.1</c:v>
                </c:pt>
                <c:pt idx="384">
                  <c:v>0.3</c:v>
                </c:pt>
                <c:pt idx="385">
                  <c:v>0.2</c:v>
                </c:pt>
                <c:pt idx="386">
                  <c:v>0</c:v>
                </c:pt>
                <c:pt idx="387">
                  <c:v>0.1</c:v>
                </c:pt>
                <c:pt idx="388">
                  <c:v>0.1</c:v>
                </c:pt>
                <c:pt idx="389">
                  <c:v>0.1</c:v>
                </c:pt>
                <c:pt idx="390">
                  <c:v>0.2</c:v>
                </c:pt>
                <c:pt idx="391">
                  <c:v>0.2</c:v>
                </c:pt>
                <c:pt idx="392">
                  <c:v>0.1</c:v>
                </c:pt>
                <c:pt idx="393">
                  <c:v>0.3</c:v>
                </c:pt>
                <c:pt idx="394">
                  <c:v>0.2</c:v>
                </c:pt>
                <c:pt idx="395">
                  <c:v>0.2</c:v>
                </c:pt>
                <c:pt idx="396">
                  <c:v>0.3</c:v>
                </c:pt>
                <c:pt idx="397">
                  <c:v>0.3</c:v>
                </c:pt>
                <c:pt idx="398">
                  <c:v>0.2</c:v>
                </c:pt>
                <c:pt idx="399">
                  <c:v>0</c:v>
                </c:pt>
                <c:pt idx="400">
                  <c:v>0.1</c:v>
                </c:pt>
                <c:pt idx="401">
                  <c:v>0.2</c:v>
                </c:pt>
                <c:pt idx="402">
                  <c:v>0.1</c:v>
                </c:pt>
                <c:pt idx="403">
                  <c:v>0.1</c:v>
                </c:pt>
                <c:pt idx="404">
                  <c:v>0.1</c:v>
                </c:pt>
                <c:pt idx="405">
                  <c:v>0.3</c:v>
                </c:pt>
                <c:pt idx="406">
                  <c:v>0.2</c:v>
                </c:pt>
                <c:pt idx="407">
                  <c:v>0.2</c:v>
                </c:pt>
                <c:pt idx="408">
                  <c:v>0</c:v>
                </c:pt>
                <c:pt idx="409">
                  <c:v>0.2</c:v>
                </c:pt>
                <c:pt idx="410">
                  <c:v>0.1</c:v>
                </c:pt>
                <c:pt idx="411">
                  <c:v>0.2</c:v>
                </c:pt>
                <c:pt idx="412">
                  <c:v>0.2</c:v>
                </c:pt>
                <c:pt idx="413">
                  <c:v>0</c:v>
                </c:pt>
                <c:pt idx="414">
                  <c:v>0.3</c:v>
                </c:pt>
                <c:pt idx="415">
                  <c:v>0.2</c:v>
                </c:pt>
                <c:pt idx="416">
                  <c:v>0</c:v>
                </c:pt>
                <c:pt idx="417">
                  <c:v>0</c:v>
                </c:pt>
                <c:pt idx="418">
                  <c:v>0.1</c:v>
                </c:pt>
                <c:pt idx="419">
                  <c:v>0.1</c:v>
                </c:pt>
                <c:pt idx="420">
                  <c:v>0</c:v>
                </c:pt>
                <c:pt idx="421">
                  <c:v>0.2</c:v>
                </c:pt>
                <c:pt idx="422">
                  <c:v>0.1</c:v>
                </c:pt>
                <c:pt idx="423">
                  <c:v>0.3</c:v>
                </c:pt>
                <c:pt idx="424">
                  <c:v>0.2</c:v>
                </c:pt>
                <c:pt idx="425">
                  <c:v>0.2</c:v>
                </c:pt>
                <c:pt idx="426">
                  <c:v>0.1</c:v>
                </c:pt>
                <c:pt idx="427">
                  <c:v>0.3</c:v>
                </c:pt>
                <c:pt idx="428">
                  <c:v>0.1</c:v>
                </c:pt>
                <c:pt idx="429">
                  <c:v>0</c:v>
                </c:pt>
                <c:pt idx="430">
                  <c:v>0</c:v>
                </c:pt>
                <c:pt idx="431">
                  <c:v>0.2</c:v>
                </c:pt>
                <c:pt idx="432">
                  <c:v>0.2</c:v>
                </c:pt>
                <c:pt idx="433">
                  <c:v>0.2</c:v>
                </c:pt>
                <c:pt idx="434">
                  <c:v>0</c:v>
                </c:pt>
                <c:pt idx="435">
                  <c:v>0.3</c:v>
                </c:pt>
                <c:pt idx="436">
                  <c:v>0.2</c:v>
                </c:pt>
                <c:pt idx="437">
                  <c:v>0.1</c:v>
                </c:pt>
                <c:pt idx="438">
                  <c:v>0.1</c:v>
                </c:pt>
                <c:pt idx="439">
                  <c:v>0.3</c:v>
                </c:pt>
                <c:pt idx="440">
                  <c:v>0.2</c:v>
                </c:pt>
                <c:pt idx="441">
                  <c:v>0.3</c:v>
                </c:pt>
                <c:pt idx="442">
                  <c:v>0.1</c:v>
                </c:pt>
                <c:pt idx="443">
                  <c:v>0</c:v>
                </c:pt>
                <c:pt idx="444">
                  <c:v>0.1</c:v>
                </c:pt>
                <c:pt idx="445">
                  <c:v>0</c:v>
                </c:pt>
                <c:pt idx="446">
                  <c:v>0.1</c:v>
                </c:pt>
                <c:pt idx="447">
                  <c:v>0.2</c:v>
                </c:pt>
                <c:pt idx="448">
                  <c:v>0</c:v>
                </c:pt>
                <c:pt idx="449">
                  <c:v>0.2</c:v>
                </c:pt>
                <c:pt idx="450">
                  <c:v>0.2</c:v>
                </c:pt>
                <c:pt idx="451">
                  <c:v>0.1</c:v>
                </c:pt>
                <c:pt idx="452">
                  <c:v>0.1</c:v>
                </c:pt>
                <c:pt idx="453">
                  <c:v>0.3</c:v>
                </c:pt>
                <c:pt idx="454">
                  <c:v>0</c:v>
                </c:pt>
                <c:pt idx="455">
                  <c:v>0.1</c:v>
                </c:pt>
                <c:pt idx="456">
                  <c:v>0.3</c:v>
                </c:pt>
                <c:pt idx="457">
                  <c:v>0</c:v>
                </c:pt>
                <c:pt idx="458">
                  <c:v>0.2</c:v>
                </c:pt>
                <c:pt idx="459">
                  <c:v>0.2</c:v>
                </c:pt>
                <c:pt idx="460">
                  <c:v>0.2</c:v>
                </c:pt>
                <c:pt idx="461">
                  <c:v>0.3</c:v>
                </c:pt>
                <c:pt idx="462">
                  <c:v>0.2</c:v>
                </c:pt>
                <c:pt idx="463">
                  <c:v>0</c:v>
                </c:pt>
                <c:pt idx="464">
                  <c:v>0.1</c:v>
                </c:pt>
                <c:pt idx="465">
                  <c:v>0.2</c:v>
                </c:pt>
                <c:pt idx="466">
                  <c:v>0.1</c:v>
                </c:pt>
                <c:pt idx="467">
                  <c:v>0.1</c:v>
                </c:pt>
                <c:pt idx="468">
                  <c:v>0</c:v>
                </c:pt>
                <c:pt idx="469">
                  <c:v>0.1</c:v>
                </c:pt>
                <c:pt idx="470">
                  <c:v>0.2</c:v>
                </c:pt>
                <c:pt idx="471">
                  <c:v>0.2</c:v>
                </c:pt>
                <c:pt idx="472">
                  <c:v>0.2</c:v>
                </c:pt>
                <c:pt idx="473">
                  <c:v>0</c:v>
                </c:pt>
                <c:pt idx="474">
                  <c:v>0.3</c:v>
                </c:pt>
                <c:pt idx="475">
                  <c:v>0.3</c:v>
                </c:pt>
                <c:pt idx="476">
                  <c:v>0.1</c:v>
                </c:pt>
                <c:pt idx="477">
                  <c:v>0.3</c:v>
                </c:pt>
                <c:pt idx="478">
                  <c:v>0.3</c:v>
                </c:pt>
                <c:pt idx="479">
                  <c:v>0.2</c:v>
                </c:pt>
                <c:pt idx="480">
                  <c:v>0.2</c:v>
                </c:pt>
                <c:pt idx="481">
                  <c:v>0.2</c:v>
                </c:pt>
                <c:pt idx="482">
                  <c:v>0.1</c:v>
                </c:pt>
                <c:pt idx="483">
                  <c:v>0.1</c:v>
                </c:pt>
                <c:pt idx="484">
                  <c:v>0</c:v>
                </c:pt>
                <c:pt idx="485">
                  <c:v>0</c:v>
                </c:pt>
                <c:pt idx="486">
                  <c:v>0.1</c:v>
                </c:pt>
                <c:pt idx="487">
                  <c:v>0.2</c:v>
                </c:pt>
                <c:pt idx="488">
                  <c:v>0.3</c:v>
                </c:pt>
                <c:pt idx="489">
                  <c:v>0.2</c:v>
                </c:pt>
                <c:pt idx="490">
                  <c:v>0.1</c:v>
                </c:pt>
                <c:pt idx="491">
                  <c:v>0.2</c:v>
                </c:pt>
                <c:pt idx="492">
                  <c:v>0.2</c:v>
                </c:pt>
                <c:pt idx="493">
                  <c:v>0</c:v>
                </c:pt>
                <c:pt idx="494">
                  <c:v>0.2</c:v>
                </c:pt>
                <c:pt idx="495">
                  <c:v>0.3</c:v>
                </c:pt>
                <c:pt idx="496">
                  <c:v>0</c:v>
                </c:pt>
                <c:pt idx="497">
                  <c:v>0.1</c:v>
                </c:pt>
                <c:pt idx="498">
                  <c:v>0.3</c:v>
                </c:pt>
                <c:pt idx="499">
                  <c:v>0.1</c:v>
                </c:pt>
              </c:numCache>
            </c:numRef>
          </c:xVal>
          <c:yVal>
            <c:numRef>
              <c:f>'cleaned dataset'!$Q$2:$Q$501</c:f>
              <c:numCache>
                <c:formatCode>0.00%</c:formatCode>
                <c:ptCount val="500"/>
                <c:pt idx="0">
                  <c:v>8.1514016276966805E-2</c:v>
                </c:pt>
                <c:pt idx="1">
                  <c:v>8.8419844407601061E-2</c:v>
                </c:pt>
                <c:pt idx="2">
                  <c:v>-2.9733325620408396E-2</c:v>
                </c:pt>
                <c:pt idx="3">
                  <c:v>-0.11480275480506009</c:v>
                </c:pt>
                <c:pt idx="4">
                  <c:v>0.76026885735623595</c:v>
                </c:pt>
                <c:pt idx="5">
                  <c:v>-7.7358530719955736E-3</c:v>
                </c:pt>
                <c:pt idx="6">
                  <c:v>-8.5761489936917984E-2</c:v>
                </c:pt>
                <c:pt idx="7">
                  <c:v>0.11441307578008915</c:v>
                </c:pt>
                <c:pt idx="8">
                  <c:v>-2.7000419612020272E-2</c:v>
                </c:pt>
                <c:pt idx="9">
                  <c:v>-8.7757112944943955E-2</c:v>
                </c:pt>
                <c:pt idx="10">
                  <c:v>-9.1415759940213059E-2</c:v>
                </c:pt>
                <c:pt idx="11">
                  <c:v>8.2973250505810461E-2</c:v>
                </c:pt>
                <c:pt idx="12">
                  <c:v>0.11873771104502835</c:v>
                </c:pt>
                <c:pt idx="13">
                  <c:v>1.5421212121212122</c:v>
                </c:pt>
                <c:pt idx="14">
                  <c:v>7.6751659012841186E-2</c:v>
                </c:pt>
                <c:pt idx="15">
                  <c:v>-0.15612311190514863</c:v>
                </c:pt>
                <c:pt idx="16">
                  <c:v>0.37449856733524356</c:v>
                </c:pt>
                <c:pt idx="17">
                  <c:v>9.004739336492891E-2</c:v>
                </c:pt>
                <c:pt idx="18">
                  <c:v>1.4583053177342478E-2</c:v>
                </c:pt>
                <c:pt idx="19">
                  <c:v>-0.23156671731164535</c:v>
                </c:pt>
                <c:pt idx="20">
                  <c:v>1.1832733794411405E-2</c:v>
                </c:pt>
                <c:pt idx="21">
                  <c:v>-0.14634745242480049</c:v>
                </c:pt>
                <c:pt idx="22">
                  <c:v>-0.17841982153686214</c:v>
                </c:pt>
                <c:pt idx="23">
                  <c:v>5.2222766863994578E-3</c:v>
                </c:pt>
                <c:pt idx="24">
                  <c:v>4.4350212022948372E-2</c:v>
                </c:pt>
                <c:pt idx="25">
                  <c:v>9.9442035561829858E-2</c:v>
                </c:pt>
                <c:pt idx="26">
                  <c:v>0.10133371991881704</c:v>
                </c:pt>
                <c:pt idx="27">
                  <c:v>0.36975159375686961</c:v>
                </c:pt>
                <c:pt idx="28">
                  <c:v>-0.1993048403707518</c:v>
                </c:pt>
                <c:pt idx="29">
                  <c:v>0.77218934911242609</c:v>
                </c:pt>
                <c:pt idx="30">
                  <c:v>0.13052299061857495</c:v>
                </c:pt>
                <c:pt idx="31">
                  <c:v>-1.2815676299082748E-2</c:v>
                </c:pt>
                <c:pt idx="32">
                  <c:v>-0.18676660814931165</c:v>
                </c:pt>
                <c:pt idx="33">
                  <c:v>-8.4405286343612329E-2</c:v>
                </c:pt>
                <c:pt idx="34">
                  <c:v>-3.6848942955001775E-2</c:v>
                </c:pt>
                <c:pt idx="35">
                  <c:v>-5.4869826781454197E-2</c:v>
                </c:pt>
                <c:pt idx="36">
                  <c:v>0.28731778425655979</c:v>
                </c:pt>
                <c:pt idx="37">
                  <c:v>-5.3293734273810997E-2</c:v>
                </c:pt>
                <c:pt idx="38">
                  <c:v>0.1590331798698206</c:v>
                </c:pt>
                <c:pt idx="39">
                  <c:v>-0.29672806403979174</c:v>
                </c:pt>
                <c:pt idx="40">
                  <c:v>0.16141732283464566</c:v>
                </c:pt>
                <c:pt idx="41">
                  <c:v>-0.12389643537700391</c:v>
                </c:pt>
                <c:pt idx="42">
                  <c:v>0.16730354507964132</c:v>
                </c:pt>
                <c:pt idx="43">
                  <c:v>3.3287671232876716E-2</c:v>
                </c:pt>
                <c:pt idx="44">
                  <c:v>0.13695881036978552</c:v>
                </c:pt>
                <c:pt idx="45">
                  <c:v>3.8520581765236518E-2</c:v>
                </c:pt>
                <c:pt idx="46">
                  <c:v>-0.20539340754893998</c:v>
                </c:pt>
                <c:pt idx="47">
                  <c:v>4.1454528469335325E-2</c:v>
                </c:pt>
                <c:pt idx="48">
                  <c:v>-0.19391339718226527</c:v>
                </c:pt>
                <c:pt idx="49">
                  <c:v>9.5544134963518892E-2</c:v>
                </c:pt>
                <c:pt idx="50">
                  <c:v>-0.18931983491802906</c:v>
                </c:pt>
                <c:pt idx="51">
                  <c:v>4.9421067495057897E-2</c:v>
                </c:pt>
                <c:pt idx="52">
                  <c:v>0.16636367873957023</c:v>
                </c:pt>
                <c:pt idx="53">
                  <c:v>-3.802549116259419E-2</c:v>
                </c:pt>
                <c:pt idx="54">
                  <c:v>-0.14337471045910791</c:v>
                </c:pt>
                <c:pt idx="55">
                  <c:v>0.11549932653453916</c:v>
                </c:pt>
                <c:pt idx="56">
                  <c:v>2.9838039867109631E-2</c:v>
                </c:pt>
                <c:pt idx="57">
                  <c:v>9.9912259933428962E-2</c:v>
                </c:pt>
                <c:pt idx="58">
                  <c:v>0.96135351736420305</c:v>
                </c:pt>
                <c:pt idx="59">
                  <c:v>-0.10117780615864908</c:v>
                </c:pt>
                <c:pt idx="60">
                  <c:v>-6.9618723217228867E-2</c:v>
                </c:pt>
                <c:pt idx="61">
                  <c:v>9.0687000296120812E-2</c:v>
                </c:pt>
                <c:pt idx="62">
                  <c:v>-0.2557443334240504</c:v>
                </c:pt>
                <c:pt idx="63">
                  <c:v>0.18102861926437505</c:v>
                </c:pt>
                <c:pt idx="64">
                  <c:v>-7.1629471913361192E-2</c:v>
                </c:pt>
                <c:pt idx="65">
                  <c:v>-0.13328465376658147</c:v>
                </c:pt>
                <c:pt idx="66">
                  <c:v>-0.18143334128309085</c:v>
                </c:pt>
                <c:pt idx="67">
                  <c:v>-6.9568314574725745E-2</c:v>
                </c:pt>
                <c:pt idx="68">
                  <c:v>-5.6461162848496366E-2</c:v>
                </c:pt>
                <c:pt idx="69">
                  <c:v>-0.16906222719504249</c:v>
                </c:pt>
                <c:pt idx="70">
                  <c:v>0.14103101424979045</c:v>
                </c:pt>
                <c:pt idx="71">
                  <c:v>-0.21966249525976489</c:v>
                </c:pt>
                <c:pt idx="72">
                  <c:v>8.4855328158080445E-2</c:v>
                </c:pt>
                <c:pt idx="73">
                  <c:v>-3.5233010061385345E-3</c:v>
                </c:pt>
                <c:pt idx="74">
                  <c:v>7.3112570862953308E-2</c:v>
                </c:pt>
                <c:pt idx="75">
                  <c:v>9.4166825004750154E-2</c:v>
                </c:pt>
                <c:pt idx="76">
                  <c:v>-2.8496943545487236E-2</c:v>
                </c:pt>
                <c:pt idx="77">
                  <c:v>-9.5787475423173396E-2</c:v>
                </c:pt>
                <c:pt idx="78">
                  <c:v>-9.1599260138585978E-2</c:v>
                </c:pt>
                <c:pt idx="79">
                  <c:v>4.0258379888268157E-2</c:v>
                </c:pt>
                <c:pt idx="80">
                  <c:v>-2.9914200773271307E-2</c:v>
                </c:pt>
                <c:pt idx="81">
                  <c:v>-0.17157402834238819</c:v>
                </c:pt>
                <c:pt idx="82">
                  <c:v>1.5791106514994828</c:v>
                </c:pt>
                <c:pt idx="83">
                  <c:v>-8.9715558566604049E-3</c:v>
                </c:pt>
                <c:pt idx="84">
                  <c:v>2.0420969592656341E-2</c:v>
                </c:pt>
                <c:pt idx="85">
                  <c:v>-0.16998300773198466</c:v>
                </c:pt>
                <c:pt idx="86">
                  <c:v>7.0376237623762369E-2</c:v>
                </c:pt>
                <c:pt idx="87">
                  <c:v>-9.5954001160521191E-2</c:v>
                </c:pt>
                <c:pt idx="88">
                  <c:v>0.12705053727839147</c:v>
                </c:pt>
                <c:pt idx="89">
                  <c:v>-2.7764923646459972E-3</c:v>
                </c:pt>
                <c:pt idx="90">
                  <c:v>0.18725637760024699</c:v>
                </c:pt>
                <c:pt idx="91">
                  <c:v>-0.15134504335928856</c:v>
                </c:pt>
                <c:pt idx="92">
                  <c:v>3.1492514895108396E-2</c:v>
                </c:pt>
                <c:pt idx="93">
                  <c:v>9.0622455776774483E-2</c:v>
                </c:pt>
                <c:pt idx="94">
                  <c:v>-7.247252747252747E-2</c:v>
                </c:pt>
                <c:pt idx="95">
                  <c:v>-0.20983470860601675</c:v>
                </c:pt>
                <c:pt idx="96">
                  <c:v>9.9538044921149052E-2</c:v>
                </c:pt>
                <c:pt idx="97">
                  <c:v>-0.22135422546341244</c:v>
                </c:pt>
                <c:pt idx="98">
                  <c:v>0.12010755579456843</c:v>
                </c:pt>
                <c:pt idx="99">
                  <c:v>-0.13163467332357751</c:v>
                </c:pt>
                <c:pt idx="100">
                  <c:v>7.8493647912885656E-2</c:v>
                </c:pt>
                <c:pt idx="101">
                  <c:v>-0.12874854296916394</c:v>
                </c:pt>
                <c:pt idx="102">
                  <c:v>-3.0883730797107854E-2</c:v>
                </c:pt>
                <c:pt idx="103">
                  <c:v>-1.4171909557449914E-2</c:v>
                </c:pt>
                <c:pt idx="104">
                  <c:v>8.2060670295964408E-3</c:v>
                </c:pt>
                <c:pt idx="105">
                  <c:v>0.1539319161587632</c:v>
                </c:pt>
                <c:pt idx="106">
                  <c:v>8.6011126751122713E-2</c:v>
                </c:pt>
                <c:pt idx="107">
                  <c:v>-9.92262812530606E-2</c:v>
                </c:pt>
                <c:pt idx="108">
                  <c:v>-0.10253698488630913</c:v>
                </c:pt>
                <c:pt idx="109">
                  <c:v>-0.17449295956594757</c:v>
                </c:pt>
                <c:pt idx="110">
                  <c:v>8.7489491485659543E-2</c:v>
                </c:pt>
                <c:pt idx="111">
                  <c:v>0.39890527256479003</c:v>
                </c:pt>
                <c:pt idx="112">
                  <c:v>-0.1202519586196075</c:v>
                </c:pt>
                <c:pt idx="113">
                  <c:v>-0.16513136610533127</c:v>
                </c:pt>
                <c:pt idx="114">
                  <c:v>-6.5737051792828682E-2</c:v>
                </c:pt>
                <c:pt idx="115">
                  <c:v>2.1747098350641415E-2</c:v>
                </c:pt>
                <c:pt idx="116">
                  <c:v>-0.54640208458608941</c:v>
                </c:pt>
                <c:pt idx="117">
                  <c:v>-0.13502522068095837</c:v>
                </c:pt>
                <c:pt idx="118">
                  <c:v>9.8138397893945101E-2</c:v>
                </c:pt>
                <c:pt idx="119">
                  <c:v>-0.11451938506133857</c:v>
                </c:pt>
                <c:pt idx="120">
                  <c:v>-7.5583864118895963E-2</c:v>
                </c:pt>
                <c:pt idx="121">
                  <c:v>-0.15631023925615151</c:v>
                </c:pt>
                <c:pt idx="122">
                  <c:v>-0.16925456295962471</c:v>
                </c:pt>
                <c:pt idx="123">
                  <c:v>-0.21726141078838174</c:v>
                </c:pt>
                <c:pt idx="124">
                  <c:v>-0.10542215509007308</c:v>
                </c:pt>
                <c:pt idx="125">
                  <c:v>0.19197607774732123</c:v>
                </c:pt>
                <c:pt idx="126">
                  <c:v>7.7316430453671398E-2</c:v>
                </c:pt>
                <c:pt idx="127">
                  <c:v>-0.10270364594125923</c:v>
                </c:pt>
                <c:pt idx="128">
                  <c:v>-0.21290126110633417</c:v>
                </c:pt>
                <c:pt idx="129">
                  <c:v>0.15004487563039579</c:v>
                </c:pt>
                <c:pt idx="130">
                  <c:v>-8.5878838442285443E-2</c:v>
                </c:pt>
                <c:pt idx="131">
                  <c:v>-0.10361144348961165</c:v>
                </c:pt>
                <c:pt idx="132">
                  <c:v>6.8591568388233701E-2</c:v>
                </c:pt>
                <c:pt idx="133">
                  <c:v>-0.24726791347453808</c:v>
                </c:pt>
                <c:pt idx="134">
                  <c:v>0.81071607411116675</c:v>
                </c:pt>
                <c:pt idx="135">
                  <c:v>-0.26858513189448446</c:v>
                </c:pt>
                <c:pt idx="136">
                  <c:v>-9.155406751963012E-2</c:v>
                </c:pt>
                <c:pt idx="137">
                  <c:v>0.11660145567756321</c:v>
                </c:pt>
                <c:pt idx="138">
                  <c:v>0.16746587974917007</c:v>
                </c:pt>
                <c:pt idx="139">
                  <c:v>8.6368253047011026E-2</c:v>
                </c:pt>
                <c:pt idx="140">
                  <c:v>0.13460151636228973</c:v>
                </c:pt>
                <c:pt idx="141">
                  <c:v>-0.2218230283363273</c:v>
                </c:pt>
                <c:pt idx="142">
                  <c:v>0.1626614529611897</c:v>
                </c:pt>
                <c:pt idx="143">
                  <c:v>-0.16848434004474275</c:v>
                </c:pt>
                <c:pt idx="144">
                  <c:v>-0.22749182088359432</c:v>
                </c:pt>
                <c:pt idx="145">
                  <c:v>-4.3682053547326315E-2</c:v>
                </c:pt>
                <c:pt idx="146">
                  <c:v>0.1642652743611627</c:v>
                </c:pt>
                <c:pt idx="147">
                  <c:v>3.1947876881599641E-2</c:v>
                </c:pt>
                <c:pt idx="148">
                  <c:v>-0.14541933310879082</c:v>
                </c:pt>
                <c:pt idx="149">
                  <c:v>-0.12399942481905767</c:v>
                </c:pt>
                <c:pt idx="150">
                  <c:v>8.3313289236319907E-2</c:v>
                </c:pt>
                <c:pt idx="151">
                  <c:v>-0.10076029507362709</c:v>
                </c:pt>
                <c:pt idx="152">
                  <c:v>0.13225331369661267</c:v>
                </c:pt>
                <c:pt idx="153">
                  <c:v>-0.16646409075400886</c:v>
                </c:pt>
                <c:pt idx="154">
                  <c:v>0.12273813799680459</c:v>
                </c:pt>
                <c:pt idx="155">
                  <c:v>-0.11613793103448276</c:v>
                </c:pt>
                <c:pt idx="156">
                  <c:v>-0.2111638235590996</c:v>
                </c:pt>
                <c:pt idx="157">
                  <c:v>-0.18545770130556186</c:v>
                </c:pt>
                <c:pt idx="158">
                  <c:v>9.6466196064968784E-2</c:v>
                </c:pt>
                <c:pt idx="159">
                  <c:v>-5.2182149362477233E-2</c:v>
                </c:pt>
                <c:pt idx="160">
                  <c:v>0.24376342309598548</c:v>
                </c:pt>
                <c:pt idx="161">
                  <c:v>0.10475100171722954</c:v>
                </c:pt>
                <c:pt idx="162">
                  <c:v>8.1884114481790532E-2</c:v>
                </c:pt>
                <c:pt idx="163">
                  <c:v>-0.11418952020596849</c:v>
                </c:pt>
                <c:pt idx="164">
                  <c:v>8.2209473462890092E-2</c:v>
                </c:pt>
                <c:pt idx="165">
                  <c:v>4.9161036378761132E-2</c:v>
                </c:pt>
                <c:pt idx="166">
                  <c:v>-5.1754156872986852E-2</c:v>
                </c:pt>
                <c:pt idx="167">
                  <c:v>0.15806124806711339</c:v>
                </c:pt>
                <c:pt idx="168">
                  <c:v>8.4850769714106183E-2</c:v>
                </c:pt>
                <c:pt idx="169">
                  <c:v>-1.7129495554053912E-2</c:v>
                </c:pt>
                <c:pt idx="170">
                  <c:v>0.15656891180577936</c:v>
                </c:pt>
                <c:pt idx="171">
                  <c:v>-0.12127927927927928</c:v>
                </c:pt>
                <c:pt idx="172">
                  <c:v>0.24099169424842318</c:v>
                </c:pt>
                <c:pt idx="173">
                  <c:v>-1.6227157199866594E-2</c:v>
                </c:pt>
                <c:pt idx="174">
                  <c:v>1.0990876299596858E-2</c:v>
                </c:pt>
                <c:pt idx="175">
                  <c:v>-1.6005637205556675E-2</c:v>
                </c:pt>
                <c:pt idx="176">
                  <c:v>0.10063990692262945</c:v>
                </c:pt>
                <c:pt idx="177">
                  <c:v>4.2615604933709056E-2</c:v>
                </c:pt>
                <c:pt idx="178">
                  <c:v>0.12259833386059266</c:v>
                </c:pt>
                <c:pt idx="179">
                  <c:v>-0.23898020428952949</c:v>
                </c:pt>
                <c:pt idx="180">
                  <c:v>3.7563971340839303E-2</c:v>
                </c:pt>
                <c:pt idx="181">
                  <c:v>-0.14631279620853083</c:v>
                </c:pt>
                <c:pt idx="182">
                  <c:v>0.116633848479424</c:v>
                </c:pt>
                <c:pt idx="183">
                  <c:v>-0.22013999034549342</c:v>
                </c:pt>
                <c:pt idx="184">
                  <c:v>0.3374019825417961</c:v>
                </c:pt>
                <c:pt idx="185">
                  <c:v>-0.13111343865467981</c:v>
                </c:pt>
                <c:pt idx="186">
                  <c:v>6.3350285256989436E-2</c:v>
                </c:pt>
                <c:pt idx="187">
                  <c:v>0.18819263666790628</c:v>
                </c:pt>
                <c:pt idx="188">
                  <c:v>0.39298025697273581</c:v>
                </c:pt>
                <c:pt idx="189">
                  <c:v>-0.14962971775272879</c:v>
                </c:pt>
                <c:pt idx="190">
                  <c:v>9.7693105496873447E-2</c:v>
                </c:pt>
                <c:pt idx="191">
                  <c:v>0.12369208838203849</c:v>
                </c:pt>
                <c:pt idx="192">
                  <c:v>9.5789953047219743E-4</c:v>
                </c:pt>
                <c:pt idx="193">
                  <c:v>2.0985832053097165E-2</c:v>
                </c:pt>
                <c:pt idx="194">
                  <c:v>0.14879363989680333</c:v>
                </c:pt>
                <c:pt idx="195">
                  <c:v>-0.15589924233739436</c:v>
                </c:pt>
                <c:pt idx="196">
                  <c:v>-0.19250225061088008</c:v>
                </c:pt>
                <c:pt idx="197">
                  <c:v>-0.13312577164635783</c:v>
                </c:pt>
                <c:pt idx="198">
                  <c:v>-3.7675066204373581E-3</c:v>
                </c:pt>
                <c:pt idx="199">
                  <c:v>-6.8580157581604767E-2</c:v>
                </c:pt>
                <c:pt idx="200">
                  <c:v>9.940357852882703E-2</c:v>
                </c:pt>
                <c:pt idx="201">
                  <c:v>0.16603621920658188</c:v>
                </c:pt>
                <c:pt idx="202">
                  <c:v>-8.17908117752007E-2</c:v>
                </c:pt>
                <c:pt idx="203">
                  <c:v>-6.7291764006286364E-2</c:v>
                </c:pt>
                <c:pt idx="204">
                  <c:v>-2.2876921838525317E-2</c:v>
                </c:pt>
                <c:pt idx="205">
                  <c:v>-0.11915188879915371</c:v>
                </c:pt>
                <c:pt idx="206">
                  <c:v>0.85122164048865623</c:v>
                </c:pt>
                <c:pt idx="207">
                  <c:v>-0.11930475181351373</c:v>
                </c:pt>
                <c:pt idx="208">
                  <c:v>-8.7538397675383975E-2</c:v>
                </c:pt>
                <c:pt idx="209">
                  <c:v>0.14646040020178241</c:v>
                </c:pt>
                <c:pt idx="210">
                  <c:v>-0.12217307852791455</c:v>
                </c:pt>
                <c:pt idx="211">
                  <c:v>1.1134730538922155</c:v>
                </c:pt>
                <c:pt idx="212">
                  <c:v>-6.0210129310344827E-2</c:v>
                </c:pt>
                <c:pt idx="213">
                  <c:v>-6.3023281232921627E-2</c:v>
                </c:pt>
                <c:pt idx="214">
                  <c:v>6.8191189064036282E-3</c:v>
                </c:pt>
                <c:pt idx="215">
                  <c:v>5.7246546476235075E-2</c:v>
                </c:pt>
                <c:pt idx="216">
                  <c:v>9.4243798234499507E-2</c:v>
                </c:pt>
                <c:pt idx="217">
                  <c:v>-0.17357436468103471</c:v>
                </c:pt>
                <c:pt idx="218">
                  <c:v>-0.24973045822102427</c:v>
                </c:pt>
                <c:pt idx="219">
                  <c:v>6.7020857929948843E-2</c:v>
                </c:pt>
                <c:pt idx="220">
                  <c:v>-0.12987012987012986</c:v>
                </c:pt>
                <c:pt idx="221">
                  <c:v>4.2710688512404373E-2</c:v>
                </c:pt>
                <c:pt idx="222">
                  <c:v>-0.16725644543944537</c:v>
                </c:pt>
                <c:pt idx="223">
                  <c:v>0.15418971142943094</c:v>
                </c:pt>
                <c:pt idx="224">
                  <c:v>-3.9126760563380283E-2</c:v>
                </c:pt>
                <c:pt idx="225">
                  <c:v>7.2649299110286126E-3</c:v>
                </c:pt>
                <c:pt idx="226">
                  <c:v>3.1498695913863436E-2</c:v>
                </c:pt>
                <c:pt idx="227">
                  <c:v>4.0117237589302066E-2</c:v>
                </c:pt>
                <c:pt idx="228">
                  <c:v>-0.11649577056004276</c:v>
                </c:pt>
                <c:pt idx="229">
                  <c:v>0.12939102564102564</c:v>
                </c:pt>
                <c:pt idx="230">
                  <c:v>-0.18721134524949237</c:v>
                </c:pt>
                <c:pt idx="231">
                  <c:v>9.7722567287784667E-2</c:v>
                </c:pt>
                <c:pt idx="232">
                  <c:v>4.9920204277050753E-2</c:v>
                </c:pt>
                <c:pt idx="233">
                  <c:v>6.7522956140594212E-2</c:v>
                </c:pt>
                <c:pt idx="234">
                  <c:v>-3.1056630375186026E-2</c:v>
                </c:pt>
                <c:pt idx="235">
                  <c:v>-0.21988872844644525</c:v>
                </c:pt>
                <c:pt idx="236">
                  <c:v>-0.24742069849407239</c:v>
                </c:pt>
                <c:pt idx="237">
                  <c:v>0.16088076632933374</c:v>
                </c:pt>
                <c:pt idx="238">
                  <c:v>0.19932711360634081</c:v>
                </c:pt>
                <c:pt idx="239">
                  <c:v>-0.1281029676996229</c:v>
                </c:pt>
                <c:pt idx="240">
                  <c:v>-0.17665445139038585</c:v>
                </c:pt>
                <c:pt idx="241">
                  <c:v>-0.22591362126245848</c:v>
                </c:pt>
                <c:pt idx="242">
                  <c:v>9.033845109848164E-2</c:v>
                </c:pt>
                <c:pt idx="243">
                  <c:v>0.19381542040090308</c:v>
                </c:pt>
                <c:pt idx="244">
                  <c:v>0.33367503844182472</c:v>
                </c:pt>
                <c:pt idx="245">
                  <c:v>-0.1407143783409939</c:v>
                </c:pt>
                <c:pt idx="246">
                  <c:v>7.8519160930131712E-2</c:v>
                </c:pt>
                <c:pt idx="247">
                  <c:v>-0.16282407513720806</c:v>
                </c:pt>
                <c:pt idx="248">
                  <c:v>-1.2547926106657371E-2</c:v>
                </c:pt>
                <c:pt idx="249">
                  <c:v>2.5152340204848959E-2</c:v>
                </c:pt>
                <c:pt idx="250">
                  <c:v>-0.12022330555118728</c:v>
                </c:pt>
                <c:pt idx="251">
                  <c:v>-0.12874583795782463</c:v>
                </c:pt>
                <c:pt idx="252">
                  <c:v>-4.561383990654725E-2</c:v>
                </c:pt>
                <c:pt idx="253">
                  <c:v>-0.21655932787363175</c:v>
                </c:pt>
                <c:pt idx="254">
                  <c:v>-8.2973432796754357E-2</c:v>
                </c:pt>
                <c:pt idx="255">
                  <c:v>-4.7812983627922134E-2</c:v>
                </c:pt>
                <c:pt idx="256">
                  <c:v>1.0794050920090748</c:v>
                </c:pt>
                <c:pt idx="257">
                  <c:v>-0.10817352448333643</c:v>
                </c:pt>
                <c:pt idx="258">
                  <c:v>-0.18524285330226722</c:v>
                </c:pt>
                <c:pt idx="259">
                  <c:v>0.14046195652173912</c:v>
                </c:pt>
                <c:pt idx="260">
                  <c:v>0.20022818026240727</c:v>
                </c:pt>
                <c:pt idx="261">
                  <c:v>-0.18196579537231505</c:v>
                </c:pt>
                <c:pt idx="262">
                  <c:v>0.12493966765496795</c:v>
                </c:pt>
                <c:pt idx="263">
                  <c:v>-0.17787389785393445</c:v>
                </c:pt>
                <c:pt idx="264">
                  <c:v>0.10846410277258314</c:v>
                </c:pt>
                <c:pt idx="265">
                  <c:v>8.6233449551881239E-2</c:v>
                </c:pt>
                <c:pt idx="266">
                  <c:v>-1.6666666666666666E-2</c:v>
                </c:pt>
                <c:pt idx="267">
                  <c:v>-4.6849379245724998E-5</c:v>
                </c:pt>
                <c:pt idx="268">
                  <c:v>0.1051550734558475</c:v>
                </c:pt>
                <c:pt idx="269">
                  <c:v>2.3654390934844192E-2</c:v>
                </c:pt>
                <c:pt idx="270">
                  <c:v>-5.6485504665574469E-2</c:v>
                </c:pt>
                <c:pt idx="271">
                  <c:v>-3.0557076375581711E-2</c:v>
                </c:pt>
                <c:pt idx="272">
                  <c:v>0.11749296358120211</c:v>
                </c:pt>
                <c:pt idx="273">
                  <c:v>6.1858217560814888E-2</c:v>
                </c:pt>
                <c:pt idx="274">
                  <c:v>-0.17636971164895782</c:v>
                </c:pt>
                <c:pt idx="275">
                  <c:v>9.1790308977085094E-2</c:v>
                </c:pt>
                <c:pt idx="276">
                  <c:v>-0.11790872156816228</c:v>
                </c:pt>
                <c:pt idx="277">
                  <c:v>-0.21613712374581942</c:v>
                </c:pt>
                <c:pt idx="278">
                  <c:v>-0.22245759285910641</c:v>
                </c:pt>
                <c:pt idx="279">
                  <c:v>-7.3491220589945352E-2</c:v>
                </c:pt>
                <c:pt idx="280">
                  <c:v>0.1107871720116618</c:v>
                </c:pt>
                <c:pt idx="281">
                  <c:v>6.6533384926265093E-2</c:v>
                </c:pt>
                <c:pt idx="282">
                  <c:v>0.12820150278742828</c:v>
                </c:pt>
                <c:pt idx="283">
                  <c:v>0.16105927810762416</c:v>
                </c:pt>
                <c:pt idx="284">
                  <c:v>-8.2847507254712294E-2</c:v>
                </c:pt>
                <c:pt idx="285">
                  <c:v>-9.280432587380695E-2</c:v>
                </c:pt>
                <c:pt idx="286">
                  <c:v>3.4610178958901755E-2</c:v>
                </c:pt>
                <c:pt idx="287">
                  <c:v>0.17414059712144642</c:v>
                </c:pt>
                <c:pt idx="288">
                  <c:v>-0.19303511180646465</c:v>
                </c:pt>
                <c:pt idx="289">
                  <c:v>-0.1782157944650401</c:v>
                </c:pt>
                <c:pt idx="290">
                  <c:v>-0.1550787583285009</c:v>
                </c:pt>
                <c:pt idx="291">
                  <c:v>-0.21130656924644931</c:v>
                </c:pt>
                <c:pt idx="292">
                  <c:v>8.0671897447231744E-2</c:v>
                </c:pt>
                <c:pt idx="293">
                  <c:v>7.9865227428714044E-3</c:v>
                </c:pt>
                <c:pt idx="294">
                  <c:v>0.13160766659845849</c:v>
                </c:pt>
                <c:pt idx="295">
                  <c:v>-0.18621330280184054</c:v>
                </c:pt>
                <c:pt idx="296">
                  <c:v>3.7555710453498932E-2</c:v>
                </c:pt>
                <c:pt idx="297">
                  <c:v>9.1672778185212342E-2</c:v>
                </c:pt>
                <c:pt idx="298">
                  <c:v>-8.0891324119878441E-2</c:v>
                </c:pt>
                <c:pt idx="299">
                  <c:v>7.7852034236135528E-2</c:v>
                </c:pt>
                <c:pt idx="300">
                  <c:v>2.45243757431629E-2</c:v>
                </c:pt>
                <c:pt idx="301">
                  <c:v>-1.3927765850476941E-2</c:v>
                </c:pt>
                <c:pt idx="302">
                  <c:v>0.11838775152228932</c:v>
                </c:pt>
                <c:pt idx="303">
                  <c:v>-5.2850809637973298E-2</c:v>
                </c:pt>
                <c:pt idx="304">
                  <c:v>0.27484582542694502</c:v>
                </c:pt>
                <c:pt idx="305">
                  <c:v>7.7458492975734358E-2</c:v>
                </c:pt>
                <c:pt idx="306">
                  <c:v>2.5203547165897424E-2</c:v>
                </c:pt>
                <c:pt idx="307">
                  <c:v>4.935882244516418E-2</c:v>
                </c:pt>
                <c:pt idx="308">
                  <c:v>-0.10660333281420341</c:v>
                </c:pt>
                <c:pt idx="309">
                  <c:v>-4.1478721317905469E-2</c:v>
                </c:pt>
                <c:pt idx="310">
                  <c:v>-4.834651329978433E-2</c:v>
                </c:pt>
                <c:pt idx="311">
                  <c:v>-6.7951161712431082E-2</c:v>
                </c:pt>
                <c:pt idx="312">
                  <c:v>-0.15695573299812873</c:v>
                </c:pt>
                <c:pt idx="313">
                  <c:v>-0.21200889547813195</c:v>
                </c:pt>
                <c:pt idx="314">
                  <c:v>-4.4931229951223799E-3</c:v>
                </c:pt>
                <c:pt idx="315">
                  <c:v>0.10643041000183857</c:v>
                </c:pt>
                <c:pt idx="316">
                  <c:v>3.9758045571999058E-2</c:v>
                </c:pt>
                <c:pt idx="317">
                  <c:v>-5.7669641353763255E-2</c:v>
                </c:pt>
                <c:pt idx="318">
                  <c:v>-0.21468422737458273</c:v>
                </c:pt>
                <c:pt idx="319">
                  <c:v>0.14842782329038007</c:v>
                </c:pt>
                <c:pt idx="320">
                  <c:v>4.7665792536706449E-2</c:v>
                </c:pt>
                <c:pt idx="321">
                  <c:v>0.12502907352371109</c:v>
                </c:pt>
                <c:pt idx="322">
                  <c:v>-0.14764331553686028</c:v>
                </c:pt>
                <c:pt idx="323">
                  <c:v>8.676449636700384E-2</c:v>
                </c:pt>
                <c:pt idx="324">
                  <c:v>-7.064985687313478E-3</c:v>
                </c:pt>
                <c:pt idx="325">
                  <c:v>0.14864286224040726</c:v>
                </c:pt>
                <c:pt idx="326">
                  <c:v>-0.1573250577148696</c:v>
                </c:pt>
                <c:pt idx="327">
                  <c:v>0.10885326253446338</c:v>
                </c:pt>
                <c:pt idx="328">
                  <c:v>0.12759048091224592</c:v>
                </c:pt>
                <c:pt idx="329">
                  <c:v>-6.6525231095620543E-2</c:v>
                </c:pt>
                <c:pt idx="330">
                  <c:v>1.3673952206281335E-2</c:v>
                </c:pt>
                <c:pt idx="331">
                  <c:v>-7.6279467448393784E-2</c:v>
                </c:pt>
                <c:pt idx="332">
                  <c:v>-1.7200449793844486E-2</c:v>
                </c:pt>
                <c:pt idx="333">
                  <c:v>0.15653726354174582</c:v>
                </c:pt>
                <c:pt idx="334">
                  <c:v>-0.19581930089420507</c:v>
                </c:pt>
                <c:pt idx="335">
                  <c:v>-6.9092484297162651E-2</c:v>
                </c:pt>
                <c:pt idx="336">
                  <c:v>0.58939993908010968</c:v>
                </c:pt>
                <c:pt idx="337">
                  <c:v>9.0171408665717254E-2</c:v>
                </c:pt>
                <c:pt idx="338">
                  <c:v>-0.1590551919874276</c:v>
                </c:pt>
                <c:pt idx="339">
                  <c:v>7.9693181252179102E-3</c:v>
                </c:pt>
                <c:pt idx="340">
                  <c:v>1.5163886620786189E-2</c:v>
                </c:pt>
                <c:pt idx="341">
                  <c:v>-7.0167581084611651E-3</c:v>
                </c:pt>
                <c:pt idx="342">
                  <c:v>0.13114516362933243</c:v>
                </c:pt>
                <c:pt idx="343">
                  <c:v>-0.11833347225033637</c:v>
                </c:pt>
                <c:pt idx="344">
                  <c:v>-7.8292864285531144E-2</c:v>
                </c:pt>
                <c:pt idx="345">
                  <c:v>0.11480957022270445</c:v>
                </c:pt>
                <c:pt idx="346">
                  <c:v>-0.12250857595215058</c:v>
                </c:pt>
                <c:pt idx="347">
                  <c:v>3.2961343764381042E-2</c:v>
                </c:pt>
                <c:pt idx="348">
                  <c:v>0.11097864399751194</c:v>
                </c:pt>
                <c:pt idx="349">
                  <c:v>6.6001305848335051E-2</c:v>
                </c:pt>
                <c:pt idx="350">
                  <c:v>0.23516153268219384</c:v>
                </c:pt>
                <c:pt idx="351">
                  <c:v>8.93716354628174E-2</c:v>
                </c:pt>
                <c:pt idx="352">
                  <c:v>-3.7573544329478598E-2</c:v>
                </c:pt>
                <c:pt idx="353">
                  <c:v>0.15967835530133467</c:v>
                </c:pt>
                <c:pt idx="354">
                  <c:v>0.19731240703698005</c:v>
                </c:pt>
                <c:pt idx="355">
                  <c:v>-0.104102422907489</c:v>
                </c:pt>
                <c:pt idx="356">
                  <c:v>-0.14987222115358192</c:v>
                </c:pt>
                <c:pt idx="357">
                  <c:v>-0.1722129956404401</c:v>
                </c:pt>
                <c:pt idx="358">
                  <c:v>-8.787576964867802E-2</c:v>
                </c:pt>
                <c:pt idx="359">
                  <c:v>-0.13318756535792375</c:v>
                </c:pt>
                <c:pt idx="360">
                  <c:v>-0.15098556295534798</c:v>
                </c:pt>
                <c:pt idx="361">
                  <c:v>0.11080644427251628</c:v>
                </c:pt>
                <c:pt idx="362">
                  <c:v>-7.3478464942670033E-2</c:v>
                </c:pt>
                <c:pt idx="363">
                  <c:v>-8.1168552198195618E-2</c:v>
                </c:pt>
                <c:pt idx="364">
                  <c:v>-0.13625958662634297</c:v>
                </c:pt>
                <c:pt idx="365">
                  <c:v>-0.14795277568450138</c:v>
                </c:pt>
                <c:pt idx="366">
                  <c:v>-0.21034868126955744</c:v>
                </c:pt>
                <c:pt idx="367">
                  <c:v>-0.21044858777921358</c:v>
                </c:pt>
                <c:pt idx="368">
                  <c:v>-0.14377224199288255</c:v>
                </c:pt>
                <c:pt idx="369">
                  <c:v>-0.17971929241757331</c:v>
                </c:pt>
                <c:pt idx="370">
                  <c:v>0.75963826749167063</c:v>
                </c:pt>
                <c:pt idx="371">
                  <c:v>9.7237788528381122E-2</c:v>
                </c:pt>
                <c:pt idx="372">
                  <c:v>-3.9215686274509803E-2</c:v>
                </c:pt>
                <c:pt idx="373">
                  <c:v>4.6648399385150044E-2</c:v>
                </c:pt>
                <c:pt idx="374">
                  <c:v>3.0990727183992192E-2</c:v>
                </c:pt>
                <c:pt idx="375">
                  <c:v>3.776874988405958E-2</c:v>
                </c:pt>
                <c:pt idx="376">
                  <c:v>0.12898083653879475</c:v>
                </c:pt>
                <c:pt idx="377">
                  <c:v>-0.21092764817150064</c:v>
                </c:pt>
                <c:pt idx="378">
                  <c:v>5.0032488628979854E-2</c:v>
                </c:pt>
                <c:pt idx="379">
                  <c:v>-2.2406373368424794E-2</c:v>
                </c:pt>
                <c:pt idx="380">
                  <c:v>0.1239913888021561</c:v>
                </c:pt>
                <c:pt idx="381">
                  <c:v>0.11601326848048399</c:v>
                </c:pt>
                <c:pt idx="382">
                  <c:v>2.4122585212905834E-2</c:v>
                </c:pt>
                <c:pt idx="383">
                  <c:v>8.6316420840262822E-2</c:v>
                </c:pt>
                <c:pt idx="384">
                  <c:v>0.13585129523432865</c:v>
                </c:pt>
                <c:pt idx="385">
                  <c:v>-9.7605893186003698E-2</c:v>
                </c:pt>
                <c:pt idx="386">
                  <c:v>0.18276535706533537</c:v>
                </c:pt>
                <c:pt idx="387">
                  <c:v>2.1546425105143964E-2</c:v>
                </c:pt>
                <c:pt idx="388">
                  <c:v>-1.5736873508353223E-2</c:v>
                </c:pt>
                <c:pt idx="389">
                  <c:v>-3.606703367875648E-2</c:v>
                </c:pt>
                <c:pt idx="390">
                  <c:v>4.0466392318244178E-2</c:v>
                </c:pt>
                <c:pt idx="391">
                  <c:v>-7.4363139803173703E-2</c:v>
                </c:pt>
                <c:pt idx="392">
                  <c:v>3.7979053976291859E-2</c:v>
                </c:pt>
                <c:pt idx="393">
                  <c:v>-0.11337062937062937</c:v>
                </c:pt>
                <c:pt idx="394">
                  <c:v>-5.67269274892203E-2</c:v>
                </c:pt>
                <c:pt idx="395">
                  <c:v>-2.0638058194648135E-2</c:v>
                </c:pt>
                <c:pt idx="396">
                  <c:v>-0.14058474291475301</c:v>
                </c:pt>
                <c:pt idx="397">
                  <c:v>9.5427435387673964E-3</c:v>
                </c:pt>
                <c:pt idx="398">
                  <c:v>0.33138952164009111</c:v>
                </c:pt>
                <c:pt idx="399">
                  <c:v>0.11412598682967981</c:v>
                </c:pt>
                <c:pt idx="400">
                  <c:v>0.23367919376458321</c:v>
                </c:pt>
                <c:pt idx="401">
                  <c:v>-5.2226094704017186E-2</c:v>
                </c:pt>
                <c:pt idx="402">
                  <c:v>3.6973603161010199E-2</c:v>
                </c:pt>
                <c:pt idx="403">
                  <c:v>1.4536632109034935E-2</c:v>
                </c:pt>
                <c:pt idx="404">
                  <c:v>-6.9217450061235697E-2</c:v>
                </c:pt>
                <c:pt idx="405">
                  <c:v>-0.15655117365340271</c:v>
                </c:pt>
                <c:pt idx="406">
                  <c:v>-7.9601614260741957E-2</c:v>
                </c:pt>
                <c:pt idx="407">
                  <c:v>-0.13643410852713178</c:v>
                </c:pt>
                <c:pt idx="408">
                  <c:v>9.0735923351386694E-2</c:v>
                </c:pt>
                <c:pt idx="409">
                  <c:v>0.24665363212513158</c:v>
                </c:pt>
                <c:pt idx="410">
                  <c:v>-3.3338147009675488E-2</c:v>
                </c:pt>
                <c:pt idx="411">
                  <c:v>-1.8410436872371469E-2</c:v>
                </c:pt>
                <c:pt idx="412">
                  <c:v>-1.7771459036786919E-3</c:v>
                </c:pt>
                <c:pt idx="413">
                  <c:v>7.4333579180276041E-2</c:v>
                </c:pt>
                <c:pt idx="414">
                  <c:v>-0.18452075858534084</c:v>
                </c:pt>
                <c:pt idx="415">
                  <c:v>-9.5028818443804036E-2</c:v>
                </c:pt>
                <c:pt idx="416">
                  <c:v>0.14796792418443591</c:v>
                </c:pt>
                <c:pt idx="417">
                  <c:v>0.15654689812945766</c:v>
                </c:pt>
                <c:pt idx="418">
                  <c:v>1.4802341432122525E-2</c:v>
                </c:pt>
                <c:pt idx="419">
                  <c:v>-3.9158028347789302E-2</c:v>
                </c:pt>
                <c:pt idx="420">
                  <c:v>0.10784190786698737</c:v>
                </c:pt>
                <c:pt idx="421">
                  <c:v>-4.661969719682206E-2</c:v>
                </c:pt>
                <c:pt idx="422">
                  <c:v>-3.7943359912015404E-2</c:v>
                </c:pt>
                <c:pt idx="423">
                  <c:v>0.22097114707952145</c:v>
                </c:pt>
                <c:pt idx="424">
                  <c:v>-9.1006619493266369E-2</c:v>
                </c:pt>
                <c:pt idx="425">
                  <c:v>-1.3561481751160462E-2</c:v>
                </c:pt>
                <c:pt idx="426">
                  <c:v>-2.6614433988934209E-2</c:v>
                </c:pt>
                <c:pt idx="427">
                  <c:v>-0.19978659302033644</c:v>
                </c:pt>
                <c:pt idx="428">
                  <c:v>6.8432244345640825E-2</c:v>
                </c:pt>
                <c:pt idx="429">
                  <c:v>0.26844234197175371</c:v>
                </c:pt>
                <c:pt idx="430">
                  <c:v>0.11688903055416421</c:v>
                </c:pt>
                <c:pt idx="431">
                  <c:v>0.22754491017964071</c:v>
                </c:pt>
                <c:pt idx="432">
                  <c:v>-7.3183071513495734E-2</c:v>
                </c:pt>
                <c:pt idx="433">
                  <c:v>-5.3058981560630117E-2</c:v>
                </c:pt>
                <c:pt idx="434">
                  <c:v>0.20301223721368056</c:v>
                </c:pt>
                <c:pt idx="435">
                  <c:v>-0.20505283971729749</c:v>
                </c:pt>
                <c:pt idx="436">
                  <c:v>-0.10409162181633258</c:v>
                </c:pt>
                <c:pt idx="437">
                  <c:v>-4.6161409062024147E-3</c:v>
                </c:pt>
                <c:pt idx="438">
                  <c:v>-9.0310880829015547E-2</c:v>
                </c:pt>
                <c:pt idx="439">
                  <c:v>-0.19529912745793845</c:v>
                </c:pt>
                <c:pt idx="440">
                  <c:v>-0.16338505672186726</c:v>
                </c:pt>
                <c:pt idx="441">
                  <c:v>-0.10596703921197197</c:v>
                </c:pt>
                <c:pt idx="442">
                  <c:v>8.4392395756748242E-2</c:v>
                </c:pt>
                <c:pt idx="443">
                  <c:v>8.1598053295037484E-2</c:v>
                </c:pt>
                <c:pt idx="444">
                  <c:v>2.8809547051932838E-2</c:v>
                </c:pt>
                <c:pt idx="445">
                  <c:v>0.12856782351144228</c:v>
                </c:pt>
                <c:pt idx="446">
                  <c:v>2.0425502990755844E-2</c:v>
                </c:pt>
                <c:pt idx="447">
                  <c:v>-0.12711044998140572</c:v>
                </c:pt>
                <c:pt idx="448">
                  <c:v>0.14450542666980931</c:v>
                </c:pt>
                <c:pt idx="449">
                  <c:v>0.37287515993419845</c:v>
                </c:pt>
                <c:pt idx="450">
                  <c:v>-0.1005465847384967</c:v>
                </c:pt>
                <c:pt idx="451">
                  <c:v>-6.801195814648729E-3</c:v>
                </c:pt>
                <c:pt idx="452">
                  <c:v>2.3705329583647714E-2</c:v>
                </c:pt>
                <c:pt idx="453">
                  <c:v>-0.1711012794948488</c:v>
                </c:pt>
                <c:pt idx="454">
                  <c:v>-6.5849275975055493E-2</c:v>
                </c:pt>
                <c:pt idx="455">
                  <c:v>2.4253035865574694E-2</c:v>
                </c:pt>
                <c:pt idx="456">
                  <c:v>-0.16818604426520484</c:v>
                </c:pt>
                <c:pt idx="457">
                  <c:v>9.7630674624706093E-2</c:v>
                </c:pt>
                <c:pt idx="458">
                  <c:v>-5.3719383469911244E-2</c:v>
                </c:pt>
                <c:pt idx="459">
                  <c:v>5.6340732775174748E-2</c:v>
                </c:pt>
                <c:pt idx="460">
                  <c:v>-0.10460655278633435</c:v>
                </c:pt>
                <c:pt idx="461">
                  <c:v>-0.17498845935007354</c:v>
                </c:pt>
                <c:pt idx="462">
                  <c:v>-4.4941002560515267E-2</c:v>
                </c:pt>
                <c:pt idx="463">
                  <c:v>8.1343741230030464E-2</c:v>
                </c:pt>
                <c:pt idx="464">
                  <c:v>4.5098275654166166E-2</c:v>
                </c:pt>
                <c:pt idx="465">
                  <c:v>-0.13583282114320835</c:v>
                </c:pt>
                <c:pt idx="466">
                  <c:v>4.0116356908995753E-2</c:v>
                </c:pt>
                <c:pt idx="467">
                  <c:v>3.2905561039815728E-4</c:v>
                </c:pt>
                <c:pt idx="468">
                  <c:v>0.13072575609599899</c:v>
                </c:pt>
                <c:pt idx="469">
                  <c:v>0.18258069347712125</c:v>
                </c:pt>
                <c:pt idx="470">
                  <c:v>-0.12004952748593382</c:v>
                </c:pt>
                <c:pt idx="471">
                  <c:v>-3.9908626713249129E-2</c:v>
                </c:pt>
                <c:pt idx="472">
                  <c:v>-9.2266506179116553E-2</c:v>
                </c:pt>
                <c:pt idx="473">
                  <c:v>3.4556684191720685E-2</c:v>
                </c:pt>
                <c:pt idx="474">
                  <c:v>-0.16381808882448215</c:v>
                </c:pt>
                <c:pt idx="475">
                  <c:v>-0.16881952865503241</c:v>
                </c:pt>
                <c:pt idx="476">
                  <c:v>0.15290697674418605</c:v>
                </c:pt>
                <c:pt idx="477">
                  <c:v>-0.41883793642522144</c:v>
                </c:pt>
                <c:pt idx="478">
                  <c:v>-0.16874306437404904</c:v>
                </c:pt>
                <c:pt idx="479">
                  <c:v>-0.12384036408191842</c:v>
                </c:pt>
                <c:pt idx="480">
                  <c:v>-0.12019394574760843</c:v>
                </c:pt>
                <c:pt idx="481">
                  <c:v>-8.2779851650749012E-2</c:v>
                </c:pt>
                <c:pt idx="482">
                  <c:v>-2.5716129032258065E-2</c:v>
                </c:pt>
                <c:pt idx="483">
                  <c:v>0.28334091943559397</c:v>
                </c:pt>
                <c:pt idx="484">
                  <c:v>0.19092446191107251</c:v>
                </c:pt>
                <c:pt idx="485">
                  <c:v>0.15323963614673425</c:v>
                </c:pt>
                <c:pt idx="486">
                  <c:v>0.1442775544742966</c:v>
                </c:pt>
                <c:pt idx="487">
                  <c:v>-0.10356488083112651</c:v>
                </c:pt>
                <c:pt idx="488">
                  <c:v>-0.2187109313442244</c:v>
                </c:pt>
                <c:pt idx="489">
                  <c:v>-8.726107732406603E-2</c:v>
                </c:pt>
                <c:pt idx="490">
                  <c:v>5.1427775024777009E-2</c:v>
                </c:pt>
                <c:pt idx="491">
                  <c:v>-8.0913000330797222E-2</c:v>
                </c:pt>
                <c:pt idx="492">
                  <c:v>-6.4057932204146295E-2</c:v>
                </c:pt>
                <c:pt idx="493">
                  <c:v>0.21839611740235729</c:v>
                </c:pt>
                <c:pt idx="494">
                  <c:v>-6.587784657361738E-2</c:v>
                </c:pt>
                <c:pt idx="495">
                  <c:v>-0.21270163115303148</c:v>
                </c:pt>
                <c:pt idx="496">
                  <c:v>8.9388809182209469E-2</c:v>
                </c:pt>
                <c:pt idx="497">
                  <c:v>7.1606904567173182E-2</c:v>
                </c:pt>
                <c:pt idx="498">
                  <c:v>-0.19906896007574562</c:v>
                </c:pt>
                <c:pt idx="499">
                  <c:v>2.5361208406304729E-2</c:v>
                </c:pt>
              </c:numCache>
            </c:numRef>
          </c:yVal>
          <c:smooth val="0"/>
          <c:extLst>
            <c:ext xmlns:c16="http://schemas.microsoft.com/office/drawing/2014/chart" uri="{C3380CC4-5D6E-409C-BE32-E72D297353CC}">
              <c16:uniqueId val="{00000001-EA13-4B31-855C-0280C513DC5F}"/>
            </c:ext>
          </c:extLst>
        </c:ser>
        <c:dLbls>
          <c:showLegendKey val="0"/>
          <c:showVal val="0"/>
          <c:showCatName val="0"/>
          <c:showSerName val="0"/>
          <c:showPercent val="0"/>
          <c:showBubbleSize val="0"/>
        </c:dLbls>
        <c:axId val="1794588799"/>
        <c:axId val="1794592959"/>
      </c:scatterChart>
      <c:valAx>
        <c:axId val="1794588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592959"/>
        <c:crosses val="autoZero"/>
        <c:crossBetween val="midCat"/>
      </c:valAx>
      <c:valAx>
        <c:axId val="179459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5887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0</xdr:colOff>
      <xdr:row>3</xdr:row>
      <xdr:rowOff>28574</xdr:rowOff>
    </xdr:from>
    <xdr:ext cx="923925" cy="352426"/>
    <xdr:sp macro="" textlink="">
      <xdr:nvSpPr>
        <xdr:cNvPr id="6" name="TextBox 5">
          <a:extLst>
            <a:ext uri="{FF2B5EF4-FFF2-40B4-BE49-F238E27FC236}">
              <a16:creationId xmlns:a16="http://schemas.microsoft.com/office/drawing/2014/main" id="{64B5F441-55C0-F4F7-1DE2-091A5B81A690}"/>
            </a:ext>
          </a:extLst>
        </xdr:cNvPr>
        <xdr:cNvSpPr txBox="1"/>
      </xdr:nvSpPr>
      <xdr:spPr>
        <a:xfrm>
          <a:off x="1057275" y="409574"/>
          <a:ext cx="923925" cy="3524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200" b="1">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  </a:t>
          </a:r>
        </a:p>
      </xdr:txBody>
    </xdr:sp>
    <xdr:clientData/>
  </xdr:oneCellAnchor>
  <xdr:twoCellAnchor>
    <xdr:from>
      <xdr:col>0</xdr:col>
      <xdr:colOff>9525</xdr:colOff>
      <xdr:row>0</xdr:row>
      <xdr:rowOff>47625</xdr:rowOff>
    </xdr:from>
    <xdr:to>
      <xdr:col>13</xdr:col>
      <xdr:colOff>114300</xdr:colOff>
      <xdr:row>47</xdr:row>
      <xdr:rowOff>13608</xdr:rowOff>
    </xdr:to>
    <xdr:grpSp>
      <xdr:nvGrpSpPr>
        <xdr:cNvPr id="58" name="Group 57">
          <a:extLst>
            <a:ext uri="{FF2B5EF4-FFF2-40B4-BE49-F238E27FC236}">
              <a16:creationId xmlns:a16="http://schemas.microsoft.com/office/drawing/2014/main" id="{50166F8A-EEC9-77FE-8054-8600D5C89399}"/>
            </a:ext>
          </a:extLst>
        </xdr:cNvPr>
        <xdr:cNvGrpSpPr/>
      </xdr:nvGrpSpPr>
      <xdr:grpSpPr>
        <a:xfrm>
          <a:off x="9525" y="47625"/>
          <a:ext cx="9153525" cy="9218840"/>
          <a:chOff x="9525" y="47625"/>
          <a:chExt cx="9124950" cy="9223922"/>
        </a:xfrm>
      </xdr:grpSpPr>
      <xdr:grpSp>
        <xdr:nvGrpSpPr>
          <xdr:cNvPr id="55" name="Group 54">
            <a:extLst>
              <a:ext uri="{FF2B5EF4-FFF2-40B4-BE49-F238E27FC236}">
                <a16:creationId xmlns:a16="http://schemas.microsoft.com/office/drawing/2014/main" id="{AB6C4733-6796-675E-D8AB-E3399EE1459A}"/>
              </a:ext>
            </a:extLst>
          </xdr:cNvPr>
          <xdr:cNvGrpSpPr/>
        </xdr:nvGrpSpPr>
        <xdr:grpSpPr>
          <a:xfrm>
            <a:off x="9525" y="1027406"/>
            <a:ext cx="9124950" cy="8244141"/>
            <a:chOff x="0" y="741656"/>
            <a:chExt cx="7778606" cy="8244141"/>
          </a:xfrm>
        </xdr:grpSpPr>
        <xdr:grpSp>
          <xdr:nvGrpSpPr>
            <xdr:cNvPr id="53" name="Group 52">
              <a:extLst>
                <a:ext uri="{FF2B5EF4-FFF2-40B4-BE49-F238E27FC236}">
                  <a16:creationId xmlns:a16="http://schemas.microsoft.com/office/drawing/2014/main" id="{42F34760-3428-D29B-2568-26EA3AE8691D}"/>
                </a:ext>
              </a:extLst>
            </xdr:cNvPr>
            <xdr:cNvGrpSpPr/>
          </xdr:nvGrpSpPr>
          <xdr:grpSpPr>
            <a:xfrm>
              <a:off x="0" y="741656"/>
              <a:ext cx="7778606" cy="6525919"/>
              <a:chOff x="0" y="722763"/>
              <a:chExt cx="7270263" cy="5732769"/>
            </a:xfrm>
          </xdr:grpSpPr>
          <mc:AlternateContent xmlns:mc="http://schemas.openxmlformats.org/markup-compatibility/2006" xmlns:a14="http://schemas.microsoft.com/office/drawing/2010/main">
            <mc:Choice Requires="a14">
              <xdr:graphicFrame macro="">
                <xdr:nvGraphicFramePr>
                  <xdr:cNvPr id="28" name="Customer Segment">
                    <a:extLst>
                      <a:ext uri="{FF2B5EF4-FFF2-40B4-BE49-F238E27FC236}">
                        <a16:creationId xmlns:a16="http://schemas.microsoft.com/office/drawing/2014/main" id="{0034451B-F7D3-D456-FCCA-F30ED4C57D72}"/>
                      </a:ext>
                    </a:extLst>
                  </xdr:cNvPr>
                  <xdr:cNvGraphicFramePr/>
                </xdr:nvGraphicFramePr>
                <xdr:xfrm>
                  <a:off x="19053" y="5029199"/>
                  <a:ext cx="1316612" cy="1426333"/>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33513" y="5926413"/>
                    <a:ext cx="1657662" cy="1622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52" name="Group 51">
                <a:extLst>
                  <a:ext uri="{FF2B5EF4-FFF2-40B4-BE49-F238E27FC236}">
                    <a16:creationId xmlns:a16="http://schemas.microsoft.com/office/drawing/2014/main" id="{2CCC9176-B045-65E6-826F-8A84B95F6DA5}"/>
                  </a:ext>
                </a:extLst>
              </xdr:cNvPr>
              <xdr:cNvGrpSpPr/>
            </xdr:nvGrpSpPr>
            <xdr:grpSpPr>
              <a:xfrm>
                <a:off x="0" y="722763"/>
                <a:ext cx="7270263" cy="5423177"/>
                <a:chOff x="0" y="878717"/>
                <a:chExt cx="8977533" cy="5860271"/>
              </a:xfrm>
            </xdr:grpSpPr>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E7D453F-DEAA-ECFF-88EE-BC2CEC3C3CC7}"/>
                        </a:ext>
                      </a:extLst>
                    </xdr:cNvPr>
                    <xdr:cNvGraphicFramePr/>
                  </xdr:nvGraphicFramePr>
                  <xdr:xfrm>
                    <a:off x="0" y="1676401"/>
                    <a:ext cx="1676401" cy="129540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1866722"/>
                      <a:ext cx="1709265" cy="1363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32" name="Group 31">
                  <a:extLst>
                    <a:ext uri="{FF2B5EF4-FFF2-40B4-BE49-F238E27FC236}">
                      <a16:creationId xmlns:a16="http://schemas.microsoft.com/office/drawing/2014/main" id="{AB6E1088-550F-704A-88A0-A7D1137AF59E}"/>
                    </a:ext>
                  </a:extLst>
                </xdr:cNvPr>
                <xdr:cNvGrpSpPr/>
              </xdr:nvGrpSpPr>
              <xdr:grpSpPr>
                <a:xfrm>
                  <a:off x="1796459" y="1685927"/>
                  <a:ext cx="7181074" cy="5053061"/>
                  <a:chOff x="1848010" y="1648253"/>
                  <a:chExt cx="7926543" cy="5090978"/>
                </a:xfrm>
              </xdr:grpSpPr>
              <xdr:graphicFrame macro="">
                <xdr:nvGraphicFramePr>
                  <xdr:cNvPr id="3" name="Chart 2">
                    <a:extLst>
                      <a:ext uri="{FF2B5EF4-FFF2-40B4-BE49-F238E27FC236}">
                        <a16:creationId xmlns:a16="http://schemas.microsoft.com/office/drawing/2014/main" id="{00F04B14-0727-4349-9A7E-33A56E48A5CC}"/>
                      </a:ext>
                    </a:extLst>
                  </xdr:cNvPr>
                  <xdr:cNvGraphicFramePr>
                    <a:graphicFrameLocks/>
                  </xdr:cNvGraphicFramePr>
                </xdr:nvGraphicFramePr>
                <xdr:xfrm>
                  <a:off x="1858556" y="1648253"/>
                  <a:ext cx="3754948" cy="234281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7">
                    <a:extLst>
                      <a:ext uri="{FF2B5EF4-FFF2-40B4-BE49-F238E27FC236}">
                        <a16:creationId xmlns:a16="http://schemas.microsoft.com/office/drawing/2014/main" id="{BD8ED0CD-B5EE-4E95-870F-02CBEA1774DA}"/>
                      </a:ext>
                    </a:extLst>
                  </xdr:cNvPr>
                  <xdr:cNvGraphicFramePr>
                    <a:graphicFrameLocks/>
                  </xdr:cNvGraphicFramePr>
                </xdr:nvGraphicFramePr>
                <xdr:xfrm>
                  <a:off x="5761172" y="1657350"/>
                  <a:ext cx="3944804" cy="231473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Chart 8">
                    <a:extLst>
                      <a:ext uri="{FF2B5EF4-FFF2-40B4-BE49-F238E27FC236}">
                        <a16:creationId xmlns:a16="http://schemas.microsoft.com/office/drawing/2014/main" id="{1178E5C0-B3ED-44CD-9026-A31C0A0D7E62}"/>
                      </a:ext>
                    </a:extLst>
                  </xdr:cNvPr>
                  <xdr:cNvGraphicFramePr>
                    <a:graphicFrameLocks/>
                  </xdr:cNvGraphicFramePr>
                </xdr:nvGraphicFramePr>
                <xdr:xfrm>
                  <a:off x="1848010" y="4133441"/>
                  <a:ext cx="3754947" cy="255310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0" name="Chart 9">
                    <a:extLst>
                      <a:ext uri="{FF2B5EF4-FFF2-40B4-BE49-F238E27FC236}">
                        <a16:creationId xmlns:a16="http://schemas.microsoft.com/office/drawing/2014/main" id="{269A1C7A-21EF-4679-BBC3-CEF3A52E3CA0}"/>
                      </a:ext>
                    </a:extLst>
                  </xdr:cNvPr>
                  <xdr:cNvGraphicFramePr>
                    <a:graphicFrameLocks/>
                  </xdr:cNvGraphicFramePr>
                </xdr:nvGraphicFramePr>
                <xdr:xfrm>
                  <a:off x="5728463" y="4124325"/>
                  <a:ext cx="4046090" cy="2614906"/>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51" name="Group 50">
                  <a:extLst>
                    <a:ext uri="{FF2B5EF4-FFF2-40B4-BE49-F238E27FC236}">
                      <a16:creationId xmlns:a16="http://schemas.microsoft.com/office/drawing/2014/main" id="{61FA0E4C-A3A1-BE66-A004-313014FEBA1A}"/>
                    </a:ext>
                  </a:extLst>
                </xdr:cNvPr>
                <xdr:cNvGrpSpPr/>
              </xdr:nvGrpSpPr>
              <xdr:grpSpPr>
                <a:xfrm>
                  <a:off x="5216081" y="916141"/>
                  <a:ext cx="1700903" cy="723900"/>
                  <a:chOff x="5520312" y="839940"/>
                  <a:chExt cx="1521363" cy="723900"/>
                </a:xfrm>
              </xdr:grpSpPr>
              <xdr:sp macro="" textlink="'KPIs Calculation'!B6">
                <xdr:nvSpPr>
                  <xdr:cNvPr id="23" name="Rectangle: Rounded Corners 22">
                    <a:extLst>
                      <a:ext uri="{FF2B5EF4-FFF2-40B4-BE49-F238E27FC236}">
                        <a16:creationId xmlns:a16="http://schemas.microsoft.com/office/drawing/2014/main" id="{87908D68-9DA7-430A-AA6E-71A18BB96BD3}"/>
                      </a:ext>
                    </a:extLst>
                  </xdr:cNvPr>
                  <xdr:cNvSpPr/>
                </xdr:nvSpPr>
                <xdr:spPr>
                  <a:xfrm>
                    <a:off x="5520312" y="839940"/>
                    <a:ext cx="1521363" cy="723900"/>
                  </a:xfrm>
                  <a:prstGeom prst="roundRect">
                    <a:avLst/>
                  </a:prstGeom>
                  <a:solidFill>
                    <a:schemeClr val="accent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cap="none" spc="0">
                      <a:ln w="12700" cmpd="sng">
                        <a:solidFill>
                          <a:schemeClr val="accent4"/>
                        </a:solidFill>
                        <a:prstDash val="solid"/>
                      </a:ln>
                      <a:solidFill>
                        <a:srgbClr val="FFFF00"/>
                      </a:solidFill>
                      <a:effectLst/>
                      <a:latin typeface="Calibri"/>
                    </a:endParaRPr>
                  </a:p>
                  <a:p>
                    <a:pPr algn="ctr"/>
                    <a:fld id="{61536356-CE25-4DBC-9A1F-9157074727F2}" type="TxLink">
                      <a:rPr lang="en-US" sz="1800" b="1" i="0" u="none" strike="noStrike" cap="none" spc="0">
                        <a:ln w="12700" cmpd="sng">
                          <a:solidFill>
                            <a:schemeClr val="accent4"/>
                          </a:solidFill>
                          <a:prstDash val="solid"/>
                        </a:ln>
                        <a:solidFill>
                          <a:srgbClr val="FFFF00"/>
                        </a:solidFill>
                        <a:effectLst/>
                        <a:latin typeface="Calibri"/>
                      </a:rPr>
                      <a:pPr algn="ctr"/>
                      <a:t>15%</a:t>
                    </a:fld>
                    <a:endParaRPr lang="en-US" sz="1400" b="1" cap="none" spc="0">
                      <a:ln w="12700" cmpd="sng">
                        <a:solidFill>
                          <a:schemeClr val="accent4"/>
                        </a:solidFill>
                        <a:prstDash val="solid"/>
                      </a:ln>
                      <a:solidFill>
                        <a:srgbClr val="FFFF00"/>
                      </a:solidFill>
                      <a:effectLst/>
                    </a:endParaRPr>
                  </a:p>
                </xdr:txBody>
              </xdr:sp>
              <xdr:sp macro="" textlink="">
                <xdr:nvSpPr>
                  <xdr:cNvPr id="24" name="TextBox 23">
                    <a:extLst>
                      <a:ext uri="{FF2B5EF4-FFF2-40B4-BE49-F238E27FC236}">
                        <a16:creationId xmlns:a16="http://schemas.microsoft.com/office/drawing/2014/main" id="{BF0844E5-559A-4733-9F30-F043468ECC6E}"/>
                      </a:ext>
                    </a:extLst>
                  </xdr:cNvPr>
                  <xdr:cNvSpPr txBox="1"/>
                </xdr:nvSpPr>
                <xdr:spPr>
                  <a:xfrm>
                    <a:off x="5598252" y="867576"/>
                    <a:ext cx="1409702" cy="318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Times New Roman" panose="02020603050405020304" pitchFamily="18" charset="0"/>
                        <a:cs typeface="Times New Roman" panose="02020603050405020304" pitchFamily="18" charset="0"/>
                      </a:rPr>
                      <a:t>Avg</a:t>
                    </a:r>
                    <a:r>
                      <a:rPr lang="en-US" sz="12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Times New Roman" panose="02020603050405020304" pitchFamily="18" charset="0"/>
                        <a:cs typeface="Times New Roman" panose="02020603050405020304" pitchFamily="18" charset="0"/>
                      </a:rPr>
                      <a:t> Discount</a:t>
                    </a:r>
                  </a:p>
                  <a:p>
                    <a:endParaRPr lang="en-US" sz="12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Times New Roman" panose="02020603050405020304" pitchFamily="18" charset="0"/>
                      <a:cs typeface="Times New Roman" panose="02020603050405020304" pitchFamily="18" charset="0"/>
                    </a:endParaRPr>
                  </a:p>
                  <a:p>
                    <a:endParaRPr lang="en-US" sz="12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Times New Roman" panose="02020603050405020304" pitchFamily="18" charset="0"/>
                      <a:cs typeface="Times New Roman" panose="02020603050405020304" pitchFamily="18" charset="0"/>
                    </a:endParaRPr>
                  </a:p>
                </xdr:txBody>
              </xdr:sp>
            </xdr:grpSp>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B0D63E92-9D2C-53CB-7E42-A707CB6B63C9}"/>
                        </a:ext>
                      </a:extLst>
                    </xdr:cNvPr>
                    <xdr:cNvGraphicFramePr/>
                  </xdr:nvGraphicFramePr>
                  <xdr:xfrm>
                    <a:off x="1" y="2971803"/>
                    <a:ext cx="1666875" cy="1095376"/>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26" y="3230610"/>
                      <a:ext cx="1699552" cy="1153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6712A8FF-B089-DF39-3E94-A9B29F1621A2}"/>
                        </a:ext>
                      </a:extLst>
                    </xdr:cNvPr>
                    <xdr:cNvGraphicFramePr/>
                  </xdr:nvGraphicFramePr>
                  <xdr:xfrm>
                    <a:off x="9525" y="4057655"/>
                    <a:ext cx="1657350" cy="1466851"/>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237" y="4373869"/>
                      <a:ext cx="1689840" cy="1544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46" name="Group 45">
                  <a:extLst>
                    <a:ext uri="{FF2B5EF4-FFF2-40B4-BE49-F238E27FC236}">
                      <a16:creationId xmlns:a16="http://schemas.microsoft.com/office/drawing/2014/main" id="{D48FF4F1-8FDC-2621-A90A-E02A747096AF}"/>
                    </a:ext>
                  </a:extLst>
                </xdr:cNvPr>
                <xdr:cNvGrpSpPr/>
              </xdr:nvGrpSpPr>
              <xdr:grpSpPr>
                <a:xfrm>
                  <a:off x="133350" y="878717"/>
                  <a:ext cx="1419225" cy="706483"/>
                  <a:chOff x="314325" y="878716"/>
                  <a:chExt cx="1419225" cy="706483"/>
                </a:xfrm>
              </xdr:grpSpPr>
              <xdr:sp macro="" textlink="'KPIs Calculation'!B3">
                <xdr:nvSpPr>
                  <xdr:cNvPr id="29" name="Rectangle: Rounded Corners 28">
                    <a:extLst>
                      <a:ext uri="{FF2B5EF4-FFF2-40B4-BE49-F238E27FC236}">
                        <a16:creationId xmlns:a16="http://schemas.microsoft.com/office/drawing/2014/main" id="{3E76F4B0-2E76-96AB-264F-A5498556D1C1}"/>
                      </a:ext>
                    </a:extLst>
                  </xdr:cNvPr>
                  <xdr:cNvSpPr/>
                </xdr:nvSpPr>
                <xdr:spPr>
                  <a:xfrm>
                    <a:off x="314325" y="879944"/>
                    <a:ext cx="1419225" cy="705255"/>
                  </a:xfrm>
                  <a:prstGeom prst="roundRect">
                    <a:avLst/>
                  </a:prstGeom>
                  <a:solidFill>
                    <a:schemeClr val="accent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cap="none" spc="0">
                      <a:ln w="12700" cmpd="sng">
                        <a:solidFill>
                          <a:schemeClr val="accent4"/>
                        </a:solidFill>
                        <a:prstDash val="solid"/>
                      </a:ln>
                      <a:solidFill>
                        <a:srgbClr val="FFFF00"/>
                      </a:solidFill>
                      <a:effectLst/>
                      <a:latin typeface="Calibri"/>
                    </a:endParaRPr>
                  </a:p>
                  <a:p>
                    <a:pPr algn="ctr"/>
                    <a:fld id="{088630AE-9727-491E-A860-799F4C76024F}" type="TxLink">
                      <a:rPr lang="en-US" sz="1800" b="1" i="0" u="none" strike="noStrike" cap="none" spc="0">
                        <a:ln w="12700" cmpd="sng">
                          <a:solidFill>
                            <a:schemeClr val="accent4"/>
                          </a:solidFill>
                          <a:prstDash val="solid"/>
                        </a:ln>
                        <a:solidFill>
                          <a:srgbClr val="FFFF00"/>
                        </a:solidFill>
                        <a:effectLst/>
                        <a:latin typeface="Calibri"/>
                      </a:rPr>
                      <a:pPr algn="ctr"/>
                      <a:t>$26,612.50</a:t>
                    </a:fld>
                    <a:endParaRPr lang="en-US" sz="1400" b="1" i="0" u="none" strike="noStrike" cap="none" spc="0">
                      <a:ln w="12700" cmpd="sng">
                        <a:solidFill>
                          <a:schemeClr val="accent4"/>
                        </a:solidFill>
                        <a:prstDash val="solid"/>
                      </a:ln>
                      <a:solidFill>
                        <a:srgbClr val="FFFF00"/>
                      </a:solidFill>
                      <a:effectLst/>
                      <a:latin typeface="Calibri"/>
                    </a:endParaRPr>
                  </a:p>
                </xdr:txBody>
              </xdr:sp>
              <xdr:sp macro="" textlink="">
                <xdr:nvSpPr>
                  <xdr:cNvPr id="30" name="TextBox 29">
                    <a:extLst>
                      <a:ext uri="{FF2B5EF4-FFF2-40B4-BE49-F238E27FC236}">
                        <a16:creationId xmlns:a16="http://schemas.microsoft.com/office/drawing/2014/main" id="{CC1CDA74-A2FF-5847-F0BB-19E730463C08}"/>
                      </a:ext>
                    </a:extLst>
                  </xdr:cNvPr>
                  <xdr:cNvSpPr txBox="1"/>
                </xdr:nvSpPr>
                <xdr:spPr>
                  <a:xfrm>
                    <a:off x="371937" y="878716"/>
                    <a:ext cx="1190626" cy="285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Times New Roman" panose="02020603050405020304" pitchFamily="18" charset="0"/>
                        <a:cs typeface="Times New Roman" panose="02020603050405020304" pitchFamily="18" charset="0"/>
                      </a:rPr>
                      <a:t>Total Sales</a:t>
                    </a:r>
                  </a:p>
                </xdr:txBody>
              </xdr:sp>
            </xdr:grpSp>
            <xdr:grpSp>
              <xdr:nvGrpSpPr>
                <xdr:cNvPr id="45" name="Group 44">
                  <a:extLst>
                    <a:ext uri="{FF2B5EF4-FFF2-40B4-BE49-F238E27FC236}">
                      <a16:creationId xmlns:a16="http://schemas.microsoft.com/office/drawing/2014/main" id="{E65DEBAC-72C0-D32C-F172-98C36A56D0BA}"/>
                    </a:ext>
                  </a:extLst>
                </xdr:cNvPr>
                <xdr:cNvGrpSpPr/>
              </xdr:nvGrpSpPr>
              <xdr:grpSpPr>
                <a:xfrm>
                  <a:off x="7052058" y="902475"/>
                  <a:ext cx="1763510" cy="724318"/>
                  <a:chOff x="7254320" y="807225"/>
                  <a:chExt cx="1632505" cy="724318"/>
                </a:xfrm>
              </xdr:grpSpPr>
              <xdr:sp macro="" textlink="'KPIs Calculation'!B7">
                <xdr:nvSpPr>
                  <xdr:cNvPr id="4" name="Rectangle: Rounded Corners 3">
                    <a:extLst>
                      <a:ext uri="{FF2B5EF4-FFF2-40B4-BE49-F238E27FC236}">
                        <a16:creationId xmlns:a16="http://schemas.microsoft.com/office/drawing/2014/main" id="{9FDC6955-6243-DAC4-6854-A3E3C30049EC}"/>
                      </a:ext>
                    </a:extLst>
                  </xdr:cNvPr>
                  <xdr:cNvSpPr/>
                </xdr:nvSpPr>
                <xdr:spPr>
                  <a:xfrm>
                    <a:off x="7254320" y="807225"/>
                    <a:ext cx="1537535" cy="724318"/>
                  </a:xfrm>
                  <a:prstGeom prst="roundRect">
                    <a:avLst/>
                  </a:prstGeom>
                  <a:solidFill>
                    <a:schemeClr val="accent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endParaRPr>
                  </a:p>
                  <a:p>
                    <a:pPr algn="ctr"/>
                    <a:fld id="{E7C0D45C-7E70-400C-B1B3-B7E09D36E2EF}" type="TxLink">
                      <a:rPr lang="en-US" sz="1600" b="1" i="0" u="none" strike="noStrike"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Calibri"/>
                      </a:rPr>
                      <a:pPr algn="ctr"/>
                      <a:t>4</a:t>
                    </a:fld>
                    <a:endParaRPr lang="en-US" sz="16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sp macro="" textlink="">
                <xdr:nvSpPr>
                  <xdr:cNvPr id="31" name="TextBox 30">
                    <a:extLst>
                      <a:ext uri="{FF2B5EF4-FFF2-40B4-BE49-F238E27FC236}">
                        <a16:creationId xmlns:a16="http://schemas.microsoft.com/office/drawing/2014/main" id="{C789CBF0-80FB-B003-54D3-AD741D5A148F}"/>
                      </a:ext>
                    </a:extLst>
                  </xdr:cNvPr>
                  <xdr:cNvSpPr txBox="1"/>
                </xdr:nvSpPr>
                <xdr:spPr>
                  <a:xfrm>
                    <a:off x="7417635" y="838200"/>
                    <a:ext cx="146919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Times New Roman" panose="02020603050405020304" pitchFamily="18" charset="0"/>
                        <a:cs typeface="Times New Roman" panose="02020603050405020304" pitchFamily="18" charset="0"/>
                      </a:rPr>
                      <a:t>Avg</a:t>
                    </a:r>
                    <a:r>
                      <a:rPr lang="en-US" sz="12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Times New Roman" panose="02020603050405020304" pitchFamily="18" charset="0"/>
                        <a:cs typeface="Times New Roman" panose="02020603050405020304" pitchFamily="18" charset="0"/>
                      </a:rPr>
                      <a:t> Ship days</a:t>
                    </a:r>
                  </a:p>
                  <a:p>
                    <a:endParaRPr lang="en-US" sz="12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Times New Roman" panose="02020603050405020304" pitchFamily="18" charset="0"/>
                      <a:cs typeface="Times New Roman" panose="02020603050405020304" pitchFamily="18" charset="0"/>
                    </a:endParaRPr>
                  </a:p>
                  <a:p>
                    <a:endParaRPr lang="en-US" sz="12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Times New Roman" panose="02020603050405020304" pitchFamily="18" charset="0"/>
                      <a:cs typeface="Times New Roman" panose="02020603050405020304" pitchFamily="18" charset="0"/>
                    </a:endParaRPr>
                  </a:p>
                </xdr:txBody>
              </xdr:sp>
            </xdr:grpSp>
            <xdr:grpSp>
              <xdr:nvGrpSpPr>
                <xdr:cNvPr id="49" name="Group 48">
                  <a:extLst>
                    <a:ext uri="{FF2B5EF4-FFF2-40B4-BE49-F238E27FC236}">
                      <a16:creationId xmlns:a16="http://schemas.microsoft.com/office/drawing/2014/main" id="{25090449-896A-5EAA-1974-7512A414FDD0}"/>
                    </a:ext>
                  </a:extLst>
                </xdr:cNvPr>
                <xdr:cNvGrpSpPr/>
              </xdr:nvGrpSpPr>
              <xdr:grpSpPr>
                <a:xfrm>
                  <a:off x="1704822" y="949598"/>
                  <a:ext cx="1524796" cy="707935"/>
                  <a:chOff x="1627658" y="968648"/>
                  <a:chExt cx="1367959" cy="707935"/>
                </a:xfrm>
              </xdr:grpSpPr>
              <xdr:sp macro="" textlink="'KPIs Calculation'!B4">
                <xdr:nvSpPr>
                  <xdr:cNvPr id="40" name="Rectangle: Rounded Corners 39">
                    <a:extLst>
                      <a:ext uri="{FF2B5EF4-FFF2-40B4-BE49-F238E27FC236}">
                        <a16:creationId xmlns:a16="http://schemas.microsoft.com/office/drawing/2014/main" id="{29D5913B-0F7F-A4CA-E563-31636A8DFE54}"/>
                      </a:ext>
                    </a:extLst>
                  </xdr:cNvPr>
                  <xdr:cNvSpPr/>
                </xdr:nvSpPr>
                <xdr:spPr>
                  <a:xfrm>
                    <a:off x="1627658" y="968648"/>
                    <a:ext cx="1367959" cy="707935"/>
                  </a:xfrm>
                  <a:prstGeom prst="roundRect">
                    <a:avLst/>
                  </a:prstGeom>
                  <a:solidFill>
                    <a:schemeClr val="accent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cap="none" spc="0">
                      <a:ln w="12700" cmpd="sng">
                        <a:solidFill>
                          <a:schemeClr val="accent4"/>
                        </a:solidFill>
                        <a:prstDash val="solid"/>
                      </a:ln>
                      <a:solidFill>
                        <a:srgbClr val="000000"/>
                      </a:solidFill>
                      <a:effectLst/>
                      <a:latin typeface="Calibri"/>
                    </a:endParaRPr>
                  </a:p>
                  <a:p>
                    <a:pPr algn="ctr"/>
                    <a:fld id="{42D6E0CD-80F5-490A-A304-446DF19830C4}" type="TxLink">
                      <a:rPr lang="en-US" sz="1800" b="1" i="0" u="none" strike="noStrike" cap="none" spc="0">
                        <a:ln w="12700" cmpd="sng">
                          <a:solidFill>
                            <a:schemeClr val="accent4"/>
                          </a:solidFill>
                          <a:prstDash val="solid"/>
                        </a:ln>
                        <a:solidFill>
                          <a:srgbClr val="000000"/>
                        </a:solidFill>
                        <a:effectLst/>
                        <a:latin typeface="Calibri"/>
                      </a:rPr>
                      <a:pPr algn="ctr"/>
                      <a:t>-$1,068.54</a:t>
                    </a:fld>
                    <a:endParaRPr lang="en-US" sz="1800" b="1" i="0" u="none" strike="noStrike" cap="none" spc="0">
                      <a:ln w="12700" cmpd="sng">
                        <a:solidFill>
                          <a:schemeClr val="accent4"/>
                        </a:solidFill>
                        <a:prstDash val="solid"/>
                      </a:ln>
                      <a:solidFill>
                        <a:srgbClr val="000000"/>
                      </a:solidFill>
                      <a:effectLst/>
                      <a:latin typeface="Calibri"/>
                    </a:endParaRPr>
                  </a:p>
                </xdr:txBody>
              </xdr:sp>
              <xdr:sp macro="" textlink="">
                <xdr:nvSpPr>
                  <xdr:cNvPr id="41" name="TextBox 40">
                    <a:extLst>
                      <a:ext uri="{FF2B5EF4-FFF2-40B4-BE49-F238E27FC236}">
                        <a16:creationId xmlns:a16="http://schemas.microsoft.com/office/drawing/2014/main" id="{70083B8B-7E7D-6529-DAB7-ACA6977E5D19}"/>
                      </a:ext>
                    </a:extLst>
                  </xdr:cNvPr>
                  <xdr:cNvSpPr txBox="1"/>
                </xdr:nvSpPr>
                <xdr:spPr>
                  <a:xfrm>
                    <a:off x="1724672" y="1033876"/>
                    <a:ext cx="1200150"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Times New Roman" panose="02020603050405020304" pitchFamily="18" charset="0"/>
                        <a:cs typeface="Times New Roman" panose="02020603050405020304" pitchFamily="18" charset="0"/>
                      </a:rPr>
                      <a:t>Total Profit</a:t>
                    </a:r>
                  </a:p>
                </xdr:txBody>
              </xdr:sp>
            </xdr:grpSp>
            <xdr:grpSp>
              <xdr:nvGrpSpPr>
                <xdr:cNvPr id="50" name="Group 49">
                  <a:extLst>
                    <a:ext uri="{FF2B5EF4-FFF2-40B4-BE49-F238E27FC236}">
                      <a16:creationId xmlns:a16="http://schemas.microsoft.com/office/drawing/2014/main" id="{0D89AC5C-9A76-3A98-CFB6-4404766ADD92}"/>
                    </a:ext>
                  </a:extLst>
                </xdr:cNvPr>
                <xdr:cNvGrpSpPr/>
              </xdr:nvGrpSpPr>
              <xdr:grpSpPr>
                <a:xfrm>
                  <a:off x="3373508" y="978659"/>
                  <a:ext cx="1636950" cy="685799"/>
                  <a:chOff x="3373508" y="978659"/>
                  <a:chExt cx="1636950" cy="685799"/>
                </a:xfrm>
              </xdr:grpSpPr>
              <xdr:sp macro="" textlink="'KPIs Calculation'!B5">
                <xdr:nvSpPr>
                  <xdr:cNvPr id="38" name="Rectangle: Rounded Corners 37">
                    <a:extLst>
                      <a:ext uri="{FF2B5EF4-FFF2-40B4-BE49-F238E27FC236}">
                        <a16:creationId xmlns:a16="http://schemas.microsoft.com/office/drawing/2014/main" id="{E06E307F-5AD6-1A65-CEA4-7B461FBFDB1F}"/>
                      </a:ext>
                    </a:extLst>
                  </xdr:cNvPr>
                  <xdr:cNvSpPr/>
                </xdr:nvSpPr>
                <xdr:spPr>
                  <a:xfrm>
                    <a:off x="3373508" y="978659"/>
                    <a:ext cx="1636950" cy="685799"/>
                  </a:xfrm>
                  <a:prstGeom prst="roundRect">
                    <a:avLst/>
                  </a:prstGeom>
                  <a:solidFill>
                    <a:schemeClr val="accent1"/>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cap="none" spc="0">
                      <a:ln w="12700" cmpd="sng">
                        <a:solidFill>
                          <a:schemeClr val="accent4"/>
                        </a:solidFill>
                        <a:prstDash val="solid"/>
                      </a:ln>
                      <a:solidFill>
                        <a:srgbClr val="FFFF00"/>
                      </a:solidFill>
                      <a:effectLst/>
                      <a:latin typeface="Calibri"/>
                    </a:endParaRPr>
                  </a:p>
                  <a:p>
                    <a:pPr algn="ctr"/>
                    <a:fld id="{CCCB3690-B083-430A-A6FF-7E3B9663B393}" type="TxLink">
                      <a:rPr lang="en-US" sz="1800" b="1" i="0" u="none" strike="noStrike" cap="none" spc="0">
                        <a:ln w="12700" cmpd="sng">
                          <a:solidFill>
                            <a:schemeClr val="accent4"/>
                          </a:solidFill>
                          <a:prstDash val="solid"/>
                        </a:ln>
                        <a:solidFill>
                          <a:srgbClr val="FFFF00"/>
                        </a:solidFill>
                        <a:effectLst/>
                        <a:latin typeface="Calibri"/>
                      </a:rPr>
                      <a:pPr algn="ctr"/>
                      <a:t>49</a:t>
                    </a:fld>
                    <a:endParaRPr lang="en-US" sz="1600" b="1" cap="none" spc="0">
                      <a:ln w="12700" cmpd="sng">
                        <a:solidFill>
                          <a:schemeClr val="accent4"/>
                        </a:solidFill>
                        <a:prstDash val="solid"/>
                      </a:ln>
                      <a:solidFill>
                        <a:srgbClr val="FFFF00"/>
                      </a:solidFill>
                      <a:effectLst/>
                    </a:endParaRPr>
                  </a:p>
                </xdr:txBody>
              </xdr:sp>
              <xdr:sp macro="" textlink="">
                <xdr:nvSpPr>
                  <xdr:cNvPr id="39" name="TextBox 38">
                    <a:extLst>
                      <a:ext uri="{FF2B5EF4-FFF2-40B4-BE49-F238E27FC236}">
                        <a16:creationId xmlns:a16="http://schemas.microsoft.com/office/drawing/2014/main" id="{0B00D1F5-277F-6545-927E-F80088957D1C}"/>
                      </a:ext>
                    </a:extLst>
                  </xdr:cNvPr>
                  <xdr:cNvSpPr txBox="1"/>
                </xdr:nvSpPr>
                <xdr:spPr>
                  <a:xfrm>
                    <a:off x="3459582" y="997446"/>
                    <a:ext cx="1495061" cy="289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Times New Roman" panose="02020603050405020304" pitchFamily="18" charset="0"/>
                        <a:cs typeface="Times New Roman" panose="02020603050405020304" pitchFamily="18" charset="0"/>
                      </a:rPr>
                      <a:t>Total Orders</a:t>
                    </a:r>
                  </a:p>
                </xdr:txBody>
              </xdr:sp>
            </xdr:grpSp>
          </xdr:grpSp>
        </xdr:grpSp>
        <xdr:graphicFrame macro="">
          <xdr:nvGraphicFramePr>
            <xdr:cNvPr id="54" name="Chart 53">
              <a:extLst>
                <a:ext uri="{FF2B5EF4-FFF2-40B4-BE49-F238E27FC236}">
                  <a16:creationId xmlns:a16="http://schemas.microsoft.com/office/drawing/2014/main" id="{B3E7217C-38B0-4A90-B18D-8CF817A03EC5}"/>
                </a:ext>
              </a:extLst>
            </xdr:cNvPr>
            <xdr:cNvGraphicFramePr>
              <a:graphicFrameLocks/>
            </xdr:cNvGraphicFramePr>
          </xdr:nvGraphicFramePr>
          <xdr:xfrm>
            <a:off x="1514476" y="6991351"/>
            <a:ext cx="6200774" cy="1994446"/>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
        <xdr:nvSpPr>
          <xdr:cNvPr id="56" name="TextBox 55">
            <a:extLst>
              <a:ext uri="{FF2B5EF4-FFF2-40B4-BE49-F238E27FC236}">
                <a16:creationId xmlns:a16="http://schemas.microsoft.com/office/drawing/2014/main" id="{A51E70E6-9CE8-324A-0D78-69E8023CB7EC}"/>
              </a:ext>
            </a:extLst>
          </xdr:cNvPr>
          <xdr:cNvSpPr txBox="1"/>
        </xdr:nvSpPr>
        <xdr:spPr>
          <a:xfrm>
            <a:off x="168395" y="47625"/>
            <a:ext cx="8577665" cy="942975"/>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i="0" u="none" strike="noStrike">
                <a:solidFill>
                  <a:schemeClr val="tx1"/>
                </a:solidFill>
                <a:effectLst/>
                <a:latin typeface="Times New Roman" panose="02020603050405020304" pitchFamily="18" charset="0"/>
                <a:ea typeface="+mn-ea"/>
                <a:cs typeface="Times New Roman" panose="02020603050405020304" pitchFamily="18" charset="0"/>
              </a:rPr>
              <a:t>SUPERSTORE SALES DASHBOARD</a:t>
            </a:r>
            <a:r>
              <a:rPr lang="en-US" sz="2800">
                <a:latin typeface="Times New Roman" panose="02020603050405020304" pitchFamily="18" charset="0"/>
                <a:cs typeface="Times New Roman" panose="02020603050405020304" pitchFamily="18" charset="0"/>
              </a:rPr>
              <a:t> </a:t>
            </a:r>
          </a:p>
          <a:p>
            <a:pPr algn="ctr"/>
            <a:r>
              <a:rPr lang="en-US" sz="2000" b="1" i="0" u="none" strike="noStrike">
                <a:solidFill>
                  <a:schemeClr val="tx1"/>
                </a:solidFill>
                <a:effectLst/>
                <a:latin typeface="Times New Roman" panose="02020603050405020304" pitchFamily="18" charset="0"/>
                <a:ea typeface="+mn-ea"/>
                <a:cs typeface="Times New Roman" panose="02020603050405020304" pitchFamily="18" charset="0"/>
              </a:rPr>
              <a:t>Interactive sales and profit analysis. </a:t>
            </a:r>
            <a:r>
              <a:rPr lang="en-US" sz="2000">
                <a:latin typeface="Times New Roman" panose="02020603050405020304" pitchFamily="18" charset="0"/>
                <a:cs typeface="Times New Roman" panose="02020603050405020304" pitchFamily="18" charset="0"/>
              </a:rPr>
              <a:t> </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frin" refreshedDate="46216.943613541669" missingItemsLimit="0" createdVersion="8" refreshedVersion="8" minRefreshableVersion="3" recordCount="501" xr:uid="{00000000-000A-0000-FFFF-FFFFF6000000}">
  <cacheSource type="worksheet">
    <worksheetSource name="Table1"/>
  </cacheSource>
  <cacheFields count="20">
    <cacheField name=" Order ID" numFmtId="2">
      <sharedItems containsBlank="1"/>
    </cacheField>
    <cacheField name="Order Date" numFmtId="14">
      <sharedItems containsNonDate="0" containsDate="1" containsString="0" containsBlank="1" minDate="2023-01-01T00:00:00" maxDate="2024-01-02T00:00:00"/>
    </cacheField>
    <cacheField name="Shipped date" numFmtId="14">
      <sharedItems containsNonDate="0" containsDate="1" containsString="0" containsBlank="1" minDate="2023-01-08T00:00:00" maxDate="2024-01-05T00:00:00"/>
    </cacheField>
    <cacheField name="Days" numFmtId="1">
      <sharedItems containsSemiMixedTypes="0" containsString="0" containsNumber="1" containsInteger="1" minValue="0" maxValue="7"/>
    </cacheField>
    <cacheField name="Ship Mode" numFmtId="0">
      <sharedItems count="4">
        <s v="Same Day"/>
        <s v="First Class"/>
        <s v="Standard Class"/>
        <s v="Second Class"/>
      </sharedItems>
    </cacheField>
    <cacheField name=" Order Month" numFmtId="1">
      <sharedItems count="12">
        <s v="May"/>
        <s v="February"/>
        <s v="October"/>
        <s v="March"/>
        <s v="June"/>
        <s v="July"/>
        <s v="November"/>
        <s v="September"/>
        <s v="January"/>
        <s v="December"/>
        <s v="August"/>
        <s v="April"/>
      </sharedItems>
    </cacheField>
    <cacheField name="YEAR" numFmtId="1">
      <sharedItems containsString="0" containsBlank="1" containsNumber="1" containsInteger="1" minValue="2023" maxValue="2024" count="3">
        <n v="2023"/>
        <n v="2024"/>
        <m/>
      </sharedItems>
    </cacheField>
    <cacheField name="Quarter" numFmtId="1">
      <sharedItems containsBlank="1"/>
    </cacheField>
    <cacheField name="Customer Segment" numFmtId="14">
      <sharedItems containsBlank="1" count="4">
        <s v="Corporate"/>
        <s v="Consumer"/>
        <s v="Home Office"/>
        <m/>
      </sharedItems>
    </cacheField>
    <cacheField name="Region" numFmtId="49">
      <sharedItems containsBlank="1" count="5">
        <s v="South"/>
        <s v="West"/>
        <s v="East"/>
        <s v="Central"/>
        <m/>
      </sharedItems>
    </cacheField>
    <cacheField name="Category" numFmtId="49">
      <sharedItems containsBlank="1" count="4">
        <s v="Technology"/>
        <s v="Office Supplies"/>
        <s v="Furniture"/>
        <m/>
      </sharedItems>
    </cacheField>
    <cacheField name="Sub-Category" numFmtId="0">
      <sharedItems containsBlank="1" count="10">
        <s v="Accessories"/>
        <s v="Paper"/>
        <s v="Chairs"/>
        <s v="Phones"/>
        <s v="Storage"/>
        <s v="Machines"/>
        <s v="Binders"/>
        <s v="Bookcases"/>
        <s v="Tables"/>
        <m/>
      </sharedItems>
    </cacheField>
    <cacheField name="Sales" numFmtId="164">
      <sharedItems containsString="0" containsBlank="1" containsNumber="1" minValue="25.15" maxValue="995.91"/>
    </cacheField>
    <cacheField name="Quantity" numFmtId="2">
      <sharedItems containsString="0" containsBlank="1" containsNumber="1" containsInteger="1" minValue="1" maxValue="10" count="11">
        <n v="1"/>
        <n v="4"/>
        <n v="6"/>
        <n v="9"/>
        <n v="3"/>
        <n v="10"/>
        <n v="7"/>
        <n v="5"/>
        <n v="2"/>
        <n v="8"/>
        <m/>
      </sharedItems>
    </cacheField>
    <cacheField name="Discount" numFmtId="9">
      <sharedItems containsString="0" containsBlank="1" containsNumber="1" minValue="0" maxValue="0.3"/>
    </cacheField>
    <cacheField name="Profit" numFmtId="164">
      <sharedItems containsString="0" containsBlank="1" containsNumber="1" minValue="-209.2" maxValue="140.43"/>
    </cacheField>
    <cacheField name="Profit Margin" numFmtId="0">
      <sharedItems containsMixedTypes="1" containsNumber="1" minValue="-0.54640208458608941" maxValue="1.5791106514994828"/>
    </cacheField>
    <cacheField name="profit Status" numFmtId="0">
      <sharedItems/>
    </cacheField>
    <cacheField name="Discount Band" numFmtId="0">
      <sharedItems/>
    </cacheField>
    <cacheField name="Shipping Performance" numFmtId="0">
      <sharedItems/>
    </cacheField>
  </cacheFields>
  <extLst>
    <ext xmlns:x14="http://schemas.microsoft.com/office/spreadsheetml/2009/9/main" uri="{725AE2AE-9491-48be-B2B4-4EB974FC3084}">
      <x14:pivotCacheDefinition pivotCacheId="1050534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ORD-1001"/>
    <d v="2023-05-18T00:00:00"/>
    <d v="2023-05-22T00:00:00"/>
    <n v="4"/>
    <x v="0"/>
    <x v="0"/>
    <x v="0"/>
    <s v="Q2"/>
    <x v="0"/>
    <x v="0"/>
    <x v="0"/>
    <x v="0"/>
    <n v="387.05"/>
    <x v="0"/>
    <n v="0"/>
    <n v="31.55"/>
    <n v="8.1514016276966805E-2"/>
    <s v="profit"/>
    <s v="No Discount"/>
    <s v="Normal"/>
  </r>
  <r>
    <s v="ORD-1002"/>
    <d v="2023-02-17T00:00:00"/>
    <d v="2023-02-23T00:00:00"/>
    <n v="6"/>
    <x v="0"/>
    <x v="1"/>
    <x v="0"/>
    <s v="Q1"/>
    <x v="1"/>
    <x v="1"/>
    <x v="1"/>
    <x v="1"/>
    <n v="784.1"/>
    <x v="1"/>
    <n v="0"/>
    <n v="69.33"/>
    <n v="8.8419844407601061E-2"/>
    <s v="profit"/>
    <s v="No Discount"/>
    <s v="slow"/>
  </r>
  <r>
    <s v="ORD-1003"/>
    <d v="2023-10-11T00:00:00"/>
    <d v="2023-10-12T00:00:00"/>
    <n v="1"/>
    <x v="1"/>
    <x v="2"/>
    <x v="0"/>
    <s v="Q4"/>
    <x v="0"/>
    <x v="2"/>
    <x v="0"/>
    <x v="0"/>
    <n v="172.87"/>
    <x v="2"/>
    <n v="0.2"/>
    <n v="-5.14"/>
    <n v="-2.9733325620408396E-2"/>
    <s v="loss"/>
    <s v="low"/>
    <s v="faster"/>
  </r>
  <r>
    <s v="ORD-1004"/>
    <d v="2023-03-04T00:00:00"/>
    <d v="2023-03-09T00:00:00"/>
    <n v="5"/>
    <x v="2"/>
    <x v="3"/>
    <x v="0"/>
    <s v="Q1"/>
    <x v="1"/>
    <x v="1"/>
    <x v="2"/>
    <x v="2"/>
    <n v="347.03"/>
    <x v="1"/>
    <n v="0.3"/>
    <n v="-39.840000000000003"/>
    <n v="-0.11480275480506009"/>
    <s v="loss"/>
    <s v="medium"/>
    <s v="slow"/>
  </r>
  <r>
    <s v="ORD-1005"/>
    <d v="2023-02-18T00:00:00"/>
    <d v="2023-02-24T00:00:00"/>
    <n v="6"/>
    <x v="3"/>
    <x v="1"/>
    <x v="0"/>
    <s v="Q1"/>
    <x v="0"/>
    <x v="3"/>
    <x v="0"/>
    <x v="3"/>
    <n v="40.17"/>
    <x v="3"/>
    <n v="0.1"/>
    <n v="30.54"/>
    <n v="0.76026885735623595"/>
    <s v="profit"/>
    <s v="low"/>
    <s v="slow"/>
  </r>
  <r>
    <s v="ORD-1006"/>
    <d v="2023-06-20T00:00:00"/>
    <d v="2023-06-25T00:00:00"/>
    <n v="5"/>
    <x v="1"/>
    <x v="4"/>
    <x v="0"/>
    <s v="Q2"/>
    <x v="1"/>
    <x v="3"/>
    <x v="1"/>
    <x v="4"/>
    <n v="939.78"/>
    <x v="4"/>
    <n v="0.1"/>
    <n v="-7.27"/>
    <n v="-7.7358530719955736E-3"/>
    <s v="loss"/>
    <s v="low"/>
    <s v="slow"/>
  </r>
  <r>
    <s v="ORD-1007"/>
    <d v="2023-07-15T00:00:00"/>
    <d v="2023-07-17T00:00:00"/>
    <n v="2"/>
    <x v="3"/>
    <x v="5"/>
    <x v="0"/>
    <s v="Q3"/>
    <x v="2"/>
    <x v="3"/>
    <x v="0"/>
    <x v="5"/>
    <n v="199.74"/>
    <x v="0"/>
    <n v="0.3"/>
    <n v="-17.13"/>
    <n v="-8.5761489936917984E-2"/>
    <s v="loss"/>
    <s v="medium"/>
    <s v="faster"/>
  </r>
  <r>
    <s v="ORD-1008"/>
    <d v="2023-02-06T00:00:00"/>
    <d v="2023-02-07T00:00:00"/>
    <n v="1"/>
    <x v="1"/>
    <x v="1"/>
    <x v="0"/>
    <s v="Q1"/>
    <x v="0"/>
    <x v="3"/>
    <x v="1"/>
    <x v="6"/>
    <n v="26.92"/>
    <x v="1"/>
    <n v="0"/>
    <n v="3.08"/>
    <n v="0.11441307578008915"/>
    <s v="profit"/>
    <s v="No Discount"/>
    <s v="faster"/>
  </r>
  <r>
    <s v="ORD-1009"/>
    <d v="2023-10-27T00:00:00"/>
    <d v="2023-10-28T00:00:00"/>
    <n v="1"/>
    <x v="2"/>
    <x v="2"/>
    <x v="0"/>
    <s v="Q4"/>
    <x v="0"/>
    <x v="1"/>
    <x v="0"/>
    <x v="3"/>
    <n v="619.62"/>
    <x v="5"/>
    <n v="0.1"/>
    <n v="-16.73"/>
    <n v="-2.7000419612020272E-2"/>
    <s v="loss"/>
    <s v="low"/>
    <s v="faster"/>
  </r>
  <r>
    <s v="ORD-1010"/>
    <d v="2023-05-22T00:00:00"/>
    <d v="2023-05-26T00:00:00"/>
    <n v="4"/>
    <x v="3"/>
    <x v="0"/>
    <x v="0"/>
    <s v="Q2"/>
    <x v="0"/>
    <x v="0"/>
    <x v="2"/>
    <x v="7"/>
    <n v="974.28"/>
    <x v="6"/>
    <n v="0.2"/>
    <n v="-85.5"/>
    <n v="-8.7757112944943955E-2"/>
    <s v="loss"/>
    <s v="low"/>
    <s v="Normal"/>
  </r>
  <r>
    <s v="ORD-1011"/>
    <d v="2023-07-31T00:00:00"/>
    <d v="2023-08-04T00:00:00"/>
    <n v="4"/>
    <x v="0"/>
    <x v="5"/>
    <x v="0"/>
    <s v="Q3"/>
    <x v="1"/>
    <x v="1"/>
    <x v="2"/>
    <x v="8"/>
    <n v="789.47"/>
    <x v="7"/>
    <n v="0.2"/>
    <n v="-72.17"/>
    <n v="-9.1415759940213059E-2"/>
    <s v="loss"/>
    <s v="low"/>
    <s v="Normal"/>
  </r>
  <r>
    <s v="ORD-1012"/>
    <d v="2023-05-30T00:00:00"/>
    <d v="2023-06-02T00:00:00"/>
    <n v="3"/>
    <x v="3"/>
    <x v="0"/>
    <x v="0"/>
    <s v="Q2"/>
    <x v="0"/>
    <x v="2"/>
    <x v="0"/>
    <x v="5"/>
    <n v="983.57"/>
    <x v="7"/>
    <n v="0"/>
    <n v="81.61"/>
    <n v="8.2973250505810461E-2"/>
    <s v="profit"/>
    <s v="No Discount"/>
    <s v="Normal"/>
  </r>
  <r>
    <s v="ORD-1013"/>
    <d v="2023-10-08T00:00:00"/>
    <d v="2023-10-11T00:00:00"/>
    <n v="3"/>
    <x v="0"/>
    <x v="2"/>
    <x v="0"/>
    <s v="Q4"/>
    <x v="2"/>
    <x v="1"/>
    <x v="1"/>
    <x v="6"/>
    <n v="615.39"/>
    <x v="8"/>
    <n v="0"/>
    <n v="73.069999999999993"/>
    <n v="0.11873771104502835"/>
    <s v="profit"/>
    <s v="No Discount"/>
    <s v="Normal"/>
  </r>
  <r>
    <s v="ORD-1014"/>
    <d v="2023-11-01T00:00:00"/>
    <d v="2023-11-03T00:00:00"/>
    <n v="2"/>
    <x v="0"/>
    <x v="6"/>
    <x v="0"/>
    <s v="Q4"/>
    <x v="2"/>
    <x v="1"/>
    <x v="1"/>
    <x v="4"/>
    <n v="33"/>
    <x v="7"/>
    <n v="0"/>
    <n v="50.89"/>
    <n v="1.5421212121212122"/>
    <s v="profit"/>
    <s v="No Discount"/>
    <s v="faster"/>
  </r>
  <r>
    <s v="ORD-1015"/>
    <d v="2023-03-17T00:00:00"/>
    <d v="2023-03-18T00:00:00"/>
    <n v="1"/>
    <x v="1"/>
    <x v="3"/>
    <x v="0"/>
    <s v="Q1"/>
    <x v="2"/>
    <x v="3"/>
    <x v="2"/>
    <x v="8"/>
    <n v="812.23"/>
    <x v="8"/>
    <n v="0"/>
    <n v="62.34"/>
    <n v="7.6751659012841186E-2"/>
    <s v="profit"/>
    <s v="No Discount"/>
    <s v="faster"/>
  </r>
  <r>
    <s v="ORD-1016"/>
    <d v="2023-07-24T00:00:00"/>
    <d v="2023-07-26T00:00:00"/>
    <n v="2"/>
    <x v="3"/>
    <x v="5"/>
    <x v="0"/>
    <s v="Q3"/>
    <x v="0"/>
    <x v="2"/>
    <x v="2"/>
    <x v="8"/>
    <n v="246.28"/>
    <x v="1"/>
    <n v="0.3"/>
    <n v="-38.450000000000003"/>
    <n v="-0.15612311190514863"/>
    <s v="loss"/>
    <s v="medium"/>
    <s v="faster"/>
  </r>
  <r>
    <s v="ORD-1017"/>
    <d v="2023-10-30T00:00:00"/>
    <d v="2023-11-02T00:00:00"/>
    <n v="3"/>
    <x v="1"/>
    <x v="2"/>
    <x v="0"/>
    <s v="Q4"/>
    <x v="1"/>
    <x v="1"/>
    <x v="0"/>
    <x v="5"/>
    <n v="139.6"/>
    <x v="3"/>
    <n v="0"/>
    <n v="52.28"/>
    <n v="0.37449856733524356"/>
    <s v="profit"/>
    <s v="No Discount"/>
    <s v="Normal"/>
  </r>
  <r>
    <s v="ORD-1018"/>
    <d v="2023-09-28T00:00:00"/>
    <d v="2023-10-04T00:00:00"/>
    <n v="6"/>
    <x v="0"/>
    <x v="7"/>
    <x v="0"/>
    <s v="Q3"/>
    <x v="2"/>
    <x v="0"/>
    <x v="2"/>
    <x v="7"/>
    <n v="189.9"/>
    <x v="8"/>
    <n v="0"/>
    <n v="17.100000000000001"/>
    <n v="9.004739336492891E-2"/>
    <s v="profit"/>
    <s v="No Discount"/>
    <s v="slow"/>
  </r>
  <r>
    <s v="ORD-1019"/>
    <d v="2023-01-12T00:00:00"/>
    <d v="2023-01-14T00:00:00"/>
    <n v="2"/>
    <x v="1"/>
    <x v="8"/>
    <x v="0"/>
    <s v="Q1"/>
    <x v="2"/>
    <x v="1"/>
    <x v="1"/>
    <x v="1"/>
    <n v="669.27"/>
    <x v="7"/>
    <n v="0.1"/>
    <n v="9.76"/>
    <n v="1.4583053177342478E-2"/>
    <s v="profit"/>
    <s v="low"/>
    <s v="faster"/>
  </r>
  <r>
    <s v="ORD-1020"/>
    <d v="2023-06-19T00:00:00"/>
    <d v="2023-06-25T00:00:00"/>
    <n v="6"/>
    <x v="2"/>
    <x v="4"/>
    <x v="0"/>
    <s v="Q2"/>
    <x v="1"/>
    <x v="3"/>
    <x v="1"/>
    <x v="1"/>
    <n v="223.78"/>
    <x v="5"/>
    <n v="0.3"/>
    <n v="-51.82"/>
    <n v="-0.23156671731164535"/>
    <s v="loss"/>
    <s v="medium"/>
    <s v="slow"/>
  </r>
  <r>
    <s v="ORD-1021"/>
    <d v="2023-12-02T00:00:00"/>
    <d v="2023-12-08T00:00:00"/>
    <n v="6"/>
    <x v="2"/>
    <x v="9"/>
    <x v="0"/>
    <s v="Q4"/>
    <x v="1"/>
    <x v="3"/>
    <x v="2"/>
    <x v="2"/>
    <n v="970.19"/>
    <x v="7"/>
    <n v="0.1"/>
    <n v="11.48"/>
    <n v="1.1832733794411405E-2"/>
    <s v="profit"/>
    <s v="low"/>
    <s v="slow"/>
  </r>
  <r>
    <s v="ORD-1022"/>
    <d v="2023-03-06T00:00:00"/>
    <d v="2023-03-13T00:00:00"/>
    <n v="7"/>
    <x v="3"/>
    <x v="3"/>
    <x v="0"/>
    <s v="Q1"/>
    <x v="2"/>
    <x v="2"/>
    <x v="1"/>
    <x v="4"/>
    <n v="407.25"/>
    <x v="4"/>
    <n v="0.3"/>
    <n v="-59.6"/>
    <n v="-0.14634745242480049"/>
    <s v="loss"/>
    <s v="medium"/>
    <s v="slow"/>
  </r>
  <r>
    <s v="ORD-1023"/>
    <d v="2023-05-24T00:00:00"/>
    <d v="2023-05-28T00:00:00"/>
    <n v="4"/>
    <x v="2"/>
    <x v="0"/>
    <x v="0"/>
    <s v="Q2"/>
    <x v="2"/>
    <x v="0"/>
    <x v="2"/>
    <x v="7"/>
    <n v="923.44"/>
    <x v="2"/>
    <n v="0.3"/>
    <n v="-164.76"/>
    <n v="-0.17841982153686214"/>
    <s v="loss"/>
    <s v="medium"/>
    <s v="Normal"/>
  </r>
  <r>
    <s v="ORD-1024"/>
    <d v="2023-09-08T00:00:00"/>
    <d v="2023-09-10T00:00:00"/>
    <n v="2"/>
    <x v="0"/>
    <x v="7"/>
    <x v="0"/>
    <s v="Q3"/>
    <x v="0"/>
    <x v="0"/>
    <x v="0"/>
    <x v="3"/>
    <n v="530.41999999999996"/>
    <x v="1"/>
    <n v="0.1"/>
    <n v="2.77"/>
    <n v="5.2222766863994578E-3"/>
    <s v="profit"/>
    <s v="low"/>
    <s v="faster"/>
  </r>
  <r>
    <s v="ORD-1025"/>
    <d v="2023-03-17T00:00:00"/>
    <d v="2023-03-19T00:00:00"/>
    <n v="2"/>
    <x v="2"/>
    <x v="3"/>
    <x v="0"/>
    <s v="Q1"/>
    <x v="0"/>
    <x v="2"/>
    <x v="2"/>
    <x v="8"/>
    <n v="400.9"/>
    <x v="5"/>
    <n v="0.1"/>
    <n v="17.78"/>
    <n v="4.4350212022948372E-2"/>
    <s v="profit"/>
    <s v="low"/>
    <s v="faster"/>
  </r>
  <r>
    <s v="ORD-1026"/>
    <d v="2023-05-21T00:00:00"/>
    <d v="2023-05-23T00:00:00"/>
    <n v="2"/>
    <x v="3"/>
    <x v="0"/>
    <x v="0"/>
    <s v="Q2"/>
    <x v="0"/>
    <x v="1"/>
    <x v="1"/>
    <x v="1"/>
    <n v="595.02"/>
    <x v="0"/>
    <n v="0"/>
    <n v="59.17"/>
    <n v="9.9442035561829858E-2"/>
    <s v="profit"/>
    <s v="No Discount"/>
    <s v="faster"/>
  </r>
  <r>
    <s v="ORD-1027"/>
    <d v="2023-10-28T00:00:00"/>
    <d v="2023-11-01T00:00:00"/>
    <n v="4"/>
    <x v="0"/>
    <x v="2"/>
    <x v="0"/>
    <s v="Q4"/>
    <x v="2"/>
    <x v="0"/>
    <x v="0"/>
    <x v="0"/>
    <n v="551.84"/>
    <x v="0"/>
    <n v="0"/>
    <n v="55.92"/>
    <n v="0.10133371991881704"/>
    <s v="profit"/>
    <s v="No Discount"/>
    <s v="Normal"/>
  </r>
  <r>
    <s v="ORD-1028"/>
    <d v="2023-03-06T00:00:00"/>
    <d v="2023-03-10T00:00:00"/>
    <n v="4"/>
    <x v="2"/>
    <x v="3"/>
    <x v="0"/>
    <s v="Q1"/>
    <x v="0"/>
    <x v="0"/>
    <x v="0"/>
    <x v="0"/>
    <n v="181.96"/>
    <x v="1"/>
    <n v="0"/>
    <n v="67.28"/>
    <n v="0.36975159375686961"/>
    <s v="profit"/>
    <s v="No Discount"/>
    <s v="Normal"/>
  </r>
  <r>
    <s v="ORD-1029"/>
    <d v="2023-11-19T00:00:00"/>
    <d v="2023-11-26T00:00:00"/>
    <n v="7"/>
    <x v="2"/>
    <x v="6"/>
    <x v="0"/>
    <s v="Q4"/>
    <x v="1"/>
    <x v="3"/>
    <x v="0"/>
    <x v="5"/>
    <n v="776.8"/>
    <x v="4"/>
    <n v="0.3"/>
    <n v="-154.82"/>
    <n v="-0.1993048403707518"/>
    <s v="loss"/>
    <s v="medium"/>
    <s v="slow"/>
  </r>
  <r>
    <s v="ORD-1030"/>
    <d v="2023-11-03T00:00:00"/>
    <d v="2023-11-08T00:00:00"/>
    <n v="5"/>
    <x v="0"/>
    <x v="6"/>
    <x v="0"/>
    <s v="Q4"/>
    <x v="2"/>
    <x v="1"/>
    <x v="1"/>
    <x v="4"/>
    <n v="33.799999999999997"/>
    <x v="8"/>
    <n v="0.2"/>
    <n v="26.1"/>
    <n v="0.77218934911242609"/>
    <s v="profit"/>
    <s v="low"/>
    <s v="slow"/>
  </r>
  <r>
    <s v="ORD-1031"/>
    <d v="2023-03-21T00:00:00"/>
    <d v="2023-03-24T00:00:00"/>
    <n v="3"/>
    <x v="0"/>
    <x v="3"/>
    <x v="0"/>
    <s v="Q1"/>
    <x v="0"/>
    <x v="2"/>
    <x v="1"/>
    <x v="6"/>
    <n v="734.43"/>
    <x v="0"/>
    <n v="0"/>
    <n v="95.86"/>
    <n v="0.13052299061857495"/>
    <s v="profit"/>
    <s v="No Discount"/>
    <s v="Normal"/>
  </r>
  <r>
    <s v="ORD-1032"/>
    <d v="2023-01-20T00:00:00"/>
    <d v="2023-01-26T00:00:00"/>
    <n v="6"/>
    <x v="2"/>
    <x v="8"/>
    <x v="0"/>
    <s v="Q1"/>
    <x v="2"/>
    <x v="3"/>
    <x v="1"/>
    <x v="1"/>
    <n v="927.77"/>
    <x v="9"/>
    <n v="0.1"/>
    <n v="-11.89"/>
    <n v="-1.2815676299082748E-2"/>
    <s v="loss"/>
    <s v="low"/>
    <s v="slow"/>
  </r>
  <r>
    <s v="ORD-1033"/>
    <d v="2023-10-21T00:00:00"/>
    <d v="2023-10-26T00:00:00"/>
    <n v="5"/>
    <x v="3"/>
    <x v="2"/>
    <x v="0"/>
    <s v="Q4"/>
    <x v="2"/>
    <x v="1"/>
    <x v="0"/>
    <x v="5"/>
    <n v="865.84"/>
    <x v="6"/>
    <n v="0.3"/>
    <n v="-161.71"/>
    <n v="-0.18676660814931165"/>
    <s v="loss"/>
    <s v="medium"/>
    <s v="slow"/>
  </r>
  <r>
    <s v="ORD-1034"/>
    <d v="2023-12-12T00:00:00"/>
    <d v="2023-12-19T00:00:00"/>
    <n v="7"/>
    <x v="2"/>
    <x v="9"/>
    <x v="0"/>
    <s v="Q4"/>
    <x v="2"/>
    <x v="2"/>
    <x v="1"/>
    <x v="4"/>
    <n v="113.5"/>
    <x v="4"/>
    <n v="0.2"/>
    <n v="-9.58"/>
    <n v="-8.4405286343612329E-2"/>
    <s v="loss"/>
    <s v="low"/>
    <s v="slow"/>
  </r>
  <r>
    <s v="ORD-1035"/>
    <d v="2023-05-28T00:00:00"/>
    <d v="2023-06-01T00:00:00"/>
    <n v="4"/>
    <x v="3"/>
    <x v="0"/>
    <x v="0"/>
    <s v="Q2"/>
    <x v="2"/>
    <x v="1"/>
    <x v="1"/>
    <x v="1"/>
    <n v="338.68"/>
    <x v="8"/>
    <n v="0.2"/>
    <n v="-12.48"/>
    <n v="-3.6848942955001775E-2"/>
    <s v="loss"/>
    <s v="low"/>
    <s v="Normal"/>
  </r>
  <r>
    <s v="ORD-1036"/>
    <d v="2023-06-29T00:00:00"/>
    <d v="2023-07-01T00:00:00"/>
    <n v="2"/>
    <x v="1"/>
    <x v="4"/>
    <x v="0"/>
    <s v="Q2"/>
    <x v="1"/>
    <x v="0"/>
    <x v="1"/>
    <x v="4"/>
    <n v="289.23"/>
    <x v="5"/>
    <n v="0.2"/>
    <n v="-15.87"/>
    <n v="-5.4869826781454197E-2"/>
    <s v="loss"/>
    <s v="low"/>
    <s v="faster"/>
  </r>
  <r>
    <s v="ORD-1037"/>
    <d v="2023-09-10T00:00:00"/>
    <d v="2023-09-12T00:00:00"/>
    <n v="2"/>
    <x v="1"/>
    <x v="7"/>
    <x v="0"/>
    <s v="Q3"/>
    <x v="2"/>
    <x v="2"/>
    <x v="2"/>
    <x v="7"/>
    <n v="137.19999999999999"/>
    <x v="3"/>
    <n v="0.1"/>
    <n v="39.42"/>
    <n v="0.28731778425655979"/>
    <s v="profit"/>
    <s v="low"/>
    <s v="faster"/>
  </r>
  <r>
    <s v="ORD-1038"/>
    <d v="2023-08-02T00:00:00"/>
    <d v="2023-08-07T00:00:00"/>
    <n v="5"/>
    <x v="0"/>
    <x v="10"/>
    <x v="0"/>
    <s v="Q3"/>
    <x v="0"/>
    <x v="2"/>
    <x v="2"/>
    <x v="8"/>
    <n v="727.29"/>
    <x v="2"/>
    <n v="0.2"/>
    <n v="-38.76"/>
    <n v="-5.3293734273810997E-2"/>
    <s v="loss"/>
    <s v="low"/>
    <s v="slow"/>
  </r>
  <r>
    <s v="ORD-1039"/>
    <d v="2023-06-26T00:00:00"/>
    <d v="2023-07-01T00:00:00"/>
    <n v="5"/>
    <x v="2"/>
    <x v="4"/>
    <x v="0"/>
    <s v="Q2"/>
    <x v="1"/>
    <x v="0"/>
    <x v="2"/>
    <x v="8"/>
    <n v="503.92"/>
    <x v="1"/>
    <n v="0"/>
    <n v="80.14"/>
    <n v="0.1590331798698206"/>
    <s v="profit"/>
    <s v="No Discount"/>
    <s v="slow"/>
  </r>
  <r>
    <s v="ORD-1040"/>
    <d v="2023-03-12T00:00:00"/>
    <d v="2023-03-13T00:00:00"/>
    <n v="1"/>
    <x v="1"/>
    <x v="3"/>
    <x v="0"/>
    <s v="Q1"/>
    <x v="0"/>
    <x v="0"/>
    <x v="1"/>
    <x v="6"/>
    <n v="128.66999999999999"/>
    <x v="1"/>
    <n v="0.3"/>
    <n v="-38.18"/>
    <n v="-0.29672806403979174"/>
    <s v="loss"/>
    <s v="medium"/>
    <s v="faster"/>
  </r>
  <r>
    <s v="ORD-1041"/>
    <d v="2023-07-31T00:00:00"/>
    <d v="2023-08-04T00:00:00"/>
    <n v="4"/>
    <x v="2"/>
    <x v="5"/>
    <x v="0"/>
    <s v="Q3"/>
    <x v="0"/>
    <x v="0"/>
    <x v="1"/>
    <x v="1"/>
    <n v="50.8"/>
    <x v="1"/>
    <n v="0.2"/>
    <n v="8.1999999999999993"/>
    <n v="0.16141732283464566"/>
    <s v="profit"/>
    <s v="low"/>
    <s v="Normal"/>
  </r>
  <r>
    <s v="ORD-1042"/>
    <d v="2023-02-24T00:00:00"/>
    <d v="2023-03-02T00:00:00"/>
    <n v="6"/>
    <x v="0"/>
    <x v="1"/>
    <x v="0"/>
    <s v="Q1"/>
    <x v="2"/>
    <x v="1"/>
    <x v="1"/>
    <x v="6"/>
    <n v="572.01"/>
    <x v="7"/>
    <n v="0.3"/>
    <n v="-70.87"/>
    <n v="-0.12389643537700391"/>
    <s v="loss"/>
    <s v="medium"/>
    <s v="slow"/>
  </r>
  <r>
    <s v="ORD-1043"/>
    <d v="2023-11-10T00:00:00"/>
    <d v="2023-11-14T00:00:00"/>
    <n v="4"/>
    <x v="1"/>
    <x v="6"/>
    <x v="0"/>
    <s v="Q4"/>
    <x v="0"/>
    <x v="0"/>
    <x v="1"/>
    <x v="1"/>
    <n v="264.31"/>
    <x v="7"/>
    <n v="0"/>
    <n v="44.22"/>
    <n v="0.16730354507964132"/>
    <s v="profit"/>
    <s v="No Discount"/>
    <s v="Normal"/>
  </r>
  <r>
    <s v="ORD-1044"/>
    <d v="2023-01-08T00:00:00"/>
    <d v="2023-01-11T00:00:00"/>
    <n v="3"/>
    <x v="0"/>
    <x v="8"/>
    <x v="0"/>
    <s v="Q1"/>
    <x v="1"/>
    <x v="0"/>
    <x v="2"/>
    <x v="7"/>
    <n v="219"/>
    <x v="1"/>
    <n v="0"/>
    <n v="7.29"/>
    <n v="3.3287671232876716E-2"/>
    <s v="profit"/>
    <s v="No Discount"/>
    <s v="Normal"/>
  </r>
  <r>
    <s v="ORD-1045"/>
    <d v="2023-02-12T00:00:00"/>
    <d v="2023-02-17T00:00:00"/>
    <n v="5"/>
    <x v="0"/>
    <x v="1"/>
    <x v="0"/>
    <s v="Q1"/>
    <x v="0"/>
    <x v="3"/>
    <x v="2"/>
    <x v="7"/>
    <n v="303.95999999999998"/>
    <x v="6"/>
    <n v="0.1"/>
    <n v="41.63"/>
    <n v="0.13695881036978552"/>
    <s v="profit"/>
    <s v="low"/>
    <s v="slow"/>
  </r>
  <r>
    <s v="ORD-1046"/>
    <d v="2023-06-30T00:00:00"/>
    <d v="2023-07-02T00:00:00"/>
    <n v="2"/>
    <x v="3"/>
    <x v="4"/>
    <x v="0"/>
    <s v="Q2"/>
    <x v="1"/>
    <x v="1"/>
    <x v="1"/>
    <x v="1"/>
    <n v="631.87"/>
    <x v="7"/>
    <n v="0.1"/>
    <n v="24.34"/>
    <n v="3.8520581765236518E-2"/>
    <s v="profit"/>
    <s v="low"/>
    <s v="faster"/>
  </r>
  <r>
    <s v="ORD-1047"/>
    <d v="2023-11-26T00:00:00"/>
    <d v="2023-11-30T00:00:00"/>
    <n v="4"/>
    <x v="3"/>
    <x v="6"/>
    <x v="0"/>
    <s v="Q4"/>
    <x v="0"/>
    <x v="2"/>
    <x v="0"/>
    <x v="5"/>
    <n v="874.03"/>
    <x v="1"/>
    <n v="0.3"/>
    <n v="-179.52"/>
    <n v="-0.20539340754893998"/>
    <s v="loss"/>
    <s v="medium"/>
    <s v="Normal"/>
  </r>
  <r>
    <s v="ORD-1048"/>
    <d v="2023-01-26T00:00:00"/>
    <d v="2023-01-27T00:00:00"/>
    <n v="1"/>
    <x v="3"/>
    <x v="8"/>
    <x v="0"/>
    <s v="Q1"/>
    <x v="2"/>
    <x v="2"/>
    <x v="0"/>
    <x v="5"/>
    <n v="428.18"/>
    <x v="3"/>
    <n v="0.1"/>
    <n v="17.75"/>
    <n v="4.1454528469335325E-2"/>
    <s v="profit"/>
    <s v="low"/>
    <s v="faster"/>
  </r>
  <r>
    <s v="ORD-1049"/>
    <d v="2023-03-22T00:00:00"/>
    <d v="2023-03-26T00:00:00"/>
    <n v="4"/>
    <x v="1"/>
    <x v="3"/>
    <x v="0"/>
    <s v="Q1"/>
    <x v="2"/>
    <x v="1"/>
    <x v="2"/>
    <x v="2"/>
    <n v="811.29"/>
    <x v="4"/>
    <n v="0.3"/>
    <n v="-157.32"/>
    <n v="-0.19391339718226527"/>
    <s v="loss"/>
    <s v="medium"/>
    <s v="Normal"/>
  </r>
  <r>
    <s v="ORD-1050"/>
    <d v="2023-03-08T00:00:00"/>
    <d v="2023-03-11T00:00:00"/>
    <n v="3"/>
    <x v="2"/>
    <x v="3"/>
    <x v="0"/>
    <s v="Q1"/>
    <x v="1"/>
    <x v="0"/>
    <x v="0"/>
    <x v="5"/>
    <n v="908.69"/>
    <x v="9"/>
    <n v="0"/>
    <n v="86.82"/>
    <n v="9.5544134963518892E-2"/>
    <s v="profit"/>
    <s v="No Discount"/>
    <s v="Normal"/>
  </r>
  <r>
    <s v="ORD-1051"/>
    <d v="2023-11-03T00:00:00"/>
    <d v="2023-11-06T00:00:00"/>
    <n v="3"/>
    <x v="3"/>
    <x v="6"/>
    <x v="0"/>
    <s v="Q4"/>
    <x v="0"/>
    <x v="2"/>
    <x v="0"/>
    <x v="0"/>
    <n v="438.57"/>
    <x v="4"/>
    <n v="0.3"/>
    <n v="-83.03"/>
    <n v="-0.18931983491802906"/>
    <s v="loss"/>
    <s v="medium"/>
    <s v="Normal"/>
  </r>
  <r>
    <s v="ORD-1052"/>
    <d v="2023-01-14T00:00:00"/>
    <d v="2023-01-21T00:00:00"/>
    <n v="7"/>
    <x v="1"/>
    <x v="8"/>
    <x v="0"/>
    <s v="Q1"/>
    <x v="0"/>
    <x v="0"/>
    <x v="0"/>
    <x v="5"/>
    <n v="318.69"/>
    <x v="5"/>
    <n v="0.1"/>
    <n v="15.75"/>
    <n v="4.9421067495057897E-2"/>
    <s v="profit"/>
    <s v="low"/>
    <s v="slow"/>
  </r>
  <r>
    <s v="ORD-1053"/>
    <d v="2023-02-20T00:00:00"/>
    <d v="2023-02-26T00:00:00"/>
    <n v="6"/>
    <x v="2"/>
    <x v="1"/>
    <x v="0"/>
    <s v="Q1"/>
    <x v="0"/>
    <x v="3"/>
    <x v="2"/>
    <x v="8"/>
    <n v="429.06"/>
    <x v="4"/>
    <n v="0"/>
    <n v="71.38"/>
    <n v="0.16636367873957023"/>
    <s v="profit"/>
    <s v="No Discount"/>
    <s v="slow"/>
  </r>
  <r>
    <s v="ORD-1054"/>
    <d v="2023-02-20T00:00:00"/>
    <d v="2023-02-22T00:00:00"/>
    <n v="2"/>
    <x v="2"/>
    <x v="1"/>
    <x v="0"/>
    <s v="Q1"/>
    <x v="0"/>
    <x v="1"/>
    <x v="1"/>
    <x v="4"/>
    <n v="284.02"/>
    <x v="6"/>
    <n v="0.3"/>
    <n v="-10.8"/>
    <n v="-3.802549116259419E-2"/>
    <s v="loss"/>
    <s v="medium"/>
    <s v="faster"/>
  </r>
  <r>
    <s v="ORD-1055"/>
    <d v="2023-12-07T00:00:00"/>
    <d v="2023-12-10T00:00:00"/>
    <n v="3"/>
    <x v="1"/>
    <x v="9"/>
    <x v="0"/>
    <s v="Q4"/>
    <x v="0"/>
    <x v="0"/>
    <x v="0"/>
    <x v="0"/>
    <n v="336.74"/>
    <x v="3"/>
    <n v="0.3"/>
    <n v="-48.28"/>
    <n v="-0.14337471045910791"/>
    <s v="loss"/>
    <s v="medium"/>
    <s v="Normal"/>
  </r>
  <r>
    <s v="ORD-1056"/>
    <d v="2023-11-22T00:00:00"/>
    <d v="2023-11-24T00:00:00"/>
    <n v="2"/>
    <x v="0"/>
    <x v="6"/>
    <x v="0"/>
    <s v="Q4"/>
    <x v="2"/>
    <x v="0"/>
    <x v="2"/>
    <x v="2"/>
    <n v="415.76"/>
    <x v="0"/>
    <n v="0.1"/>
    <n v="48.02"/>
    <n v="0.11549932653453916"/>
    <s v="profit"/>
    <s v="low"/>
    <s v="faster"/>
  </r>
  <r>
    <s v="ORD-1057"/>
    <d v="2023-05-02T00:00:00"/>
    <d v="2023-05-07T00:00:00"/>
    <n v="5"/>
    <x v="1"/>
    <x v="0"/>
    <x v="0"/>
    <s v="Q2"/>
    <x v="1"/>
    <x v="0"/>
    <x v="0"/>
    <x v="3"/>
    <n v="963.2"/>
    <x v="0"/>
    <n v="0.1"/>
    <n v="28.74"/>
    <n v="2.9838039867109631E-2"/>
    <s v="profit"/>
    <s v="low"/>
    <s v="slow"/>
  </r>
  <r>
    <s v="ORD-1058"/>
    <d v="2023-11-28T00:00:00"/>
    <d v="2023-11-29T00:00:00"/>
    <n v="1"/>
    <x v="0"/>
    <x v="6"/>
    <x v="0"/>
    <s v="Q4"/>
    <x v="2"/>
    <x v="1"/>
    <x v="0"/>
    <x v="5"/>
    <n v="718.03"/>
    <x v="6"/>
    <n v="0"/>
    <n v="71.739999999999995"/>
    <n v="9.9912259933428962E-2"/>
    <s v="profit"/>
    <s v="No Discount"/>
    <s v="faster"/>
  </r>
  <r>
    <s v="ORD-1059"/>
    <d v="2023-08-07T00:00:00"/>
    <d v="2023-08-14T00:00:00"/>
    <n v="7"/>
    <x v="2"/>
    <x v="10"/>
    <x v="0"/>
    <s v="Q3"/>
    <x v="0"/>
    <x v="2"/>
    <x v="2"/>
    <x v="7"/>
    <n v="56.15"/>
    <x v="7"/>
    <n v="0"/>
    <n v="53.98"/>
    <n v="0.96135351736420305"/>
    <s v="profit"/>
    <s v="No Discount"/>
    <s v="slow"/>
  </r>
  <r>
    <s v="ORD-1060"/>
    <d v="2023-08-03T00:00:00"/>
    <d v="2023-08-05T00:00:00"/>
    <n v="2"/>
    <x v="1"/>
    <x v="10"/>
    <x v="0"/>
    <s v="Q3"/>
    <x v="1"/>
    <x v="3"/>
    <x v="1"/>
    <x v="4"/>
    <n v="422.82"/>
    <x v="6"/>
    <n v="0.2"/>
    <n v="-42.78"/>
    <n v="-0.10117780615864908"/>
    <s v="loss"/>
    <s v="low"/>
    <s v="faster"/>
  </r>
  <r>
    <s v="ORD-1061"/>
    <d v="2023-01-05T00:00:00"/>
    <d v="2023-01-12T00:00:00"/>
    <n v="7"/>
    <x v="0"/>
    <x v="8"/>
    <x v="0"/>
    <s v="Q1"/>
    <x v="1"/>
    <x v="1"/>
    <x v="0"/>
    <x v="5"/>
    <n v="910.1"/>
    <x v="2"/>
    <n v="0.2"/>
    <n v="-63.36"/>
    <n v="-6.9618723217228867E-2"/>
    <s v="loss"/>
    <s v="low"/>
    <s v="slow"/>
  </r>
  <r>
    <s v="ORD-1062"/>
    <d v="2023-08-27T00:00:00"/>
    <d v="2023-09-02T00:00:00"/>
    <n v="6"/>
    <x v="0"/>
    <x v="10"/>
    <x v="0"/>
    <s v="Q3"/>
    <x v="1"/>
    <x v="0"/>
    <x v="0"/>
    <x v="3"/>
    <n v="540.32000000000005"/>
    <x v="8"/>
    <n v="0.1"/>
    <n v="49"/>
    <n v="9.0687000296120812E-2"/>
    <s v="profit"/>
    <s v="low"/>
    <s v="slow"/>
  </r>
  <r>
    <s v="ORD-1063"/>
    <d v="2023-06-05T00:00:00"/>
    <d v="2023-06-08T00:00:00"/>
    <n v="3"/>
    <x v="1"/>
    <x v="4"/>
    <x v="0"/>
    <s v="Q2"/>
    <x v="1"/>
    <x v="1"/>
    <x v="2"/>
    <x v="2"/>
    <n v="257.20999999999998"/>
    <x v="0"/>
    <n v="0.3"/>
    <n v="-65.78"/>
    <n v="-0.2557443334240504"/>
    <s v="loss"/>
    <s v="medium"/>
    <s v="Normal"/>
  </r>
  <r>
    <s v="ORD-1064"/>
    <d v="2023-10-11T00:00:00"/>
    <d v="2023-10-17T00:00:00"/>
    <n v="6"/>
    <x v="2"/>
    <x v="2"/>
    <x v="0"/>
    <s v="Q4"/>
    <x v="2"/>
    <x v="1"/>
    <x v="2"/>
    <x v="8"/>
    <n v="382.26"/>
    <x v="7"/>
    <n v="0"/>
    <n v="69.2"/>
    <n v="0.18102861926437505"/>
    <s v="profit"/>
    <s v="No Discount"/>
    <s v="slow"/>
  </r>
  <r>
    <s v="ORD-1065"/>
    <d v="2023-05-02T00:00:00"/>
    <d v="2023-05-06T00:00:00"/>
    <n v="4"/>
    <x v="3"/>
    <x v="0"/>
    <x v="0"/>
    <s v="Q2"/>
    <x v="1"/>
    <x v="2"/>
    <x v="2"/>
    <x v="8"/>
    <n v="380.43"/>
    <x v="6"/>
    <n v="0.3"/>
    <n v="-27.25"/>
    <n v="-7.1629471913361192E-2"/>
    <s v="loss"/>
    <s v="medium"/>
    <s v="Normal"/>
  </r>
  <r>
    <s v="ORD-1066"/>
    <d v="2023-09-18T00:00:00"/>
    <d v="2023-09-22T00:00:00"/>
    <n v="4"/>
    <x v="3"/>
    <x v="7"/>
    <x v="0"/>
    <s v="Q3"/>
    <x v="2"/>
    <x v="1"/>
    <x v="2"/>
    <x v="8"/>
    <n v="410.85"/>
    <x v="3"/>
    <n v="0.2"/>
    <n v="-54.76"/>
    <n v="-0.13328465376658147"/>
    <s v="loss"/>
    <s v="low"/>
    <s v="Normal"/>
  </r>
  <r>
    <s v="ORD-1067"/>
    <d v="2023-10-25T00:00:00"/>
    <d v="2023-10-27T00:00:00"/>
    <n v="2"/>
    <x v="3"/>
    <x v="2"/>
    <x v="0"/>
    <s v="Q4"/>
    <x v="1"/>
    <x v="3"/>
    <x v="1"/>
    <x v="4"/>
    <n v="838.6"/>
    <x v="8"/>
    <n v="0.3"/>
    <n v="-152.15"/>
    <n v="-0.18143334128309085"/>
    <s v="loss"/>
    <s v="medium"/>
    <s v="faster"/>
  </r>
  <r>
    <s v="ORD-1068"/>
    <d v="2023-09-02T00:00:00"/>
    <d v="2023-09-05T00:00:00"/>
    <n v="3"/>
    <x v="3"/>
    <x v="7"/>
    <x v="0"/>
    <s v="Q3"/>
    <x v="2"/>
    <x v="2"/>
    <x v="0"/>
    <x v="0"/>
    <n v="701.9"/>
    <x v="8"/>
    <n v="0.2"/>
    <n v="-48.83"/>
    <n v="-6.9568314574725745E-2"/>
    <s v="loss"/>
    <s v="low"/>
    <s v="Normal"/>
  </r>
  <r>
    <s v="ORD-1069"/>
    <d v="2023-04-08T00:00:00"/>
    <d v="2023-04-13T00:00:00"/>
    <n v="5"/>
    <x v="1"/>
    <x v="11"/>
    <x v="0"/>
    <s v="Q2"/>
    <x v="0"/>
    <x v="1"/>
    <x v="0"/>
    <x v="3"/>
    <n v="684.01"/>
    <x v="4"/>
    <n v="0.2"/>
    <n v="-38.619999999999997"/>
    <n v="-5.6461162848496366E-2"/>
    <s v="loss"/>
    <s v="low"/>
    <s v="slow"/>
  </r>
  <r>
    <s v="ORD-1070"/>
    <d v="2023-10-16T00:00:00"/>
    <d v="2023-10-19T00:00:00"/>
    <n v="3"/>
    <x v="1"/>
    <x v="2"/>
    <x v="0"/>
    <s v="Q4"/>
    <x v="1"/>
    <x v="3"/>
    <x v="1"/>
    <x v="4"/>
    <n v="813.31"/>
    <x v="0"/>
    <n v="0.3"/>
    <n v="-137.5"/>
    <n v="-0.16906222719504249"/>
    <s v="loss"/>
    <s v="medium"/>
    <s v="Normal"/>
  </r>
  <r>
    <s v="ORD-1071"/>
    <d v="2023-10-16T00:00:00"/>
    <d v="2023-10-17T00:00:00"/>
    <n v="1"/>
    <x v="3"/>
    <x v="2"/>
    <x v="0"/>
    <s v="Q4"/>
    <x v="2"/>
    <x v="2"/>
    <x v="2"/>
    <x v="2"/>
    <n v="190.88"/>
    <x v="0"/>
    <n v="0"/>
    <n v="26.92"/>
    <n v="0.14103101424979045"/>
    <s v="profit"/>
    <s v="No Discount"/>
    <s v="faster"/>
  </r>
  <r>
    <s v="ORD-1072"/>
    <d v="2023-04-11T00:00:00"/>
    <d v="2023-04-15T00:00:00"/>
    <n v="4"/>
    <x v="3"/>
    <x v="11"/>
    <x v="0"/>
    <s v="Q2"/>
    <x v="0"/>
    <x v="3"/>
    <x v="1"/>
    <x v="4"/>
    <n v="527.4"/>
    <x v="7"/>
    <n v="0.3"/>
    <n v="-115.85"/>
    <n v="-0.21966249525976489"/>
    <s v="loss"/>
    <s v="medium"/>
    <s v="Normal"/>
  </r>
  <r>
    <s v="ORD-1073"/>
    <d v="2023-01-25T00:00:00"/>
    <d v="2023-02-01T00:00:00"/>
    <n v="7"/>
    <x v="2"/>
    <x v="8"/>
    <x v="0"/>
    <s v="Q1"/>
    <x v="0"/>
    <x v="1"/>
    <x v="0"/>
    <x v="3"/>
    <n v="354.25"/>
    <x v="7"/>
    <n v="0"/>
    <n v="30.06"/>
    <n v="8.4855328158080445E-2"/>
    <s v="profit"/>
    <s v="No Discount"/>
    <s v="slow"/>
  </r>
  <r>
    <s v="ORD-1074"/>
    <d v="2023-03-20T00:00:00"/>
    <d v="2023-03-26T00:00:00"/>
    <n v="6"/>
    <x v="3"/>
    <x v="3"/>
    <x v="0"/>
    <s v="Q1"/>
    <x v="0"/>
    <x v="1"/>
    <x v="2"/>
    <x v="7"/>
    <n v="550.62"/>
    <x v="3"/>
    <n v="0.1"/>
    <n v="-1.94"/>
    <n v="-3.5233010061385345E-3"/>
    <s v="loss"/>
    <s v="low"/>
    <s v="slow"/>
  </r>
  <r>
    <s v="ORD-1075"/>
    <d v="2023-07-01T00:00:00"/>
    <d v="2023-07-03T00:00:00"/>
    <n v="2"/>
    <x v="2"/>
    <x v="5"/>
    <x v="0"/>
    <s v="Q3"/>
    <x v="0"/>
    <x v="2"/>
    <x v="0"/>
    <x v="0"/>
    <n v="666.78"/>
    <x v="5"/>
    <n v="0.1"/>
    <n v="48.75"/>
    <n v="7.3112570862953308E-2"/>
    <s v="profit"/>
    <s v="low"/>
    <s v="faster"/>
  </r>
  <r>
    <s v="ORD-1076"/>
    <d v="2023-05-21T00:00:00"/>
    <d v="2023-05-25T00:00:00"/>
    <n v="4"/>
    <x v="1"/>
    <x v="0"/>
    <x v="0"/>
    <s v="Q2"/>
    <x v="0"/>
    <x v="0"/>
    <x v="2"/>
    <x v="2"/>
    <n v="526.29999999999995"/>
    <x v="8"/>
    <n v="0"/>
    <n v="49.56"/>
    <n v="9.4166825004750154E-2"/>
    <s v="profit"/>
    <s v="No Discount"/>
    <s v="Normal"/>
  </r>
  <r>
    <s v="ORD-1077"/>
    <d v="2023-07-28T00:00:00"/>
    <d v="2023-07-31T00:00:00"/>
    <n v="3"/>
    <x v="1"/>
    <x v="5"/>
    <x v="0"/>
    <s v="Q3"/>
    <x v="0"/>
    <x v="2"/>
    <x v="1"/>
    <x v="1"/>
    <n v="111.24"/>
    <x v="8"/>
    <n v="0.3"/>
    <n v="-3.17"/>
    <n v="-2.8496943545487236E-2"/>
    <s v="loss"/>
    <s v="medium"/>
    <s v="Normal"/>
  </r>
  <r>
    <s v="ORD-1078"/>
    <d v="2023-05-28T00:00:00"/>
    <d v="2023-06-04T00:00:00"/>
    <n v="7"/>
    <x v="2"/>
    <x v="0"/>
    <x v="0"/>
    <s v="Q2"/>
    <x v="0"/>
    <x v="0"/>
    <x v="2"/>
    <x v="8"/>
    <n v="884.98"/>
    <x v="9"/>
    <n v="0.2"/>
    <n v="-84.77"/>
    <n v="-9.5787475423173396E-2"/>
    <s v="loss"/>
    <s v="low"/>
    <s v="slow"/>
  </r>
  <r>
    <s v="ORD-1079"/>
    <d v="2023-04-25T00:00:00"/>
    <d v="2023-04-30T00:00:00"/>
    <n v="5"/>
    <x v="2"/>
    <x v="11"/>
    <x v="0"/>
    <s v="Q2"/>
    <x v="0"/>
    <x v="0"/>
    <x v="1"/>
    <x v="1"/>
    <n v="362.23"/>
    <x v="2"/>
    <n v="0.3"/>
    <n v="-33.18"/>
    <n v="-9.1599260138585978E-2"/>
    <s v="loss"/>
    <s v="medium"/>
    <s v="slow"/>
  </r>
  <r>
    <s v="ORD-1080"/>
    <d v="2023-08-31T00:00:00"/>
    <d v="2023-09-07T00:00:00"/>
    <n v="7"/>
    <x v="3"/>
    <x v="10"/>
    <x v="0"/>
    <s v="Q3"/>
    <x v="1"/>
    <x v="3"/>
    <x v="1"/>
    <x v="6"/>
    <n v="859.2"/>
    <x v="7"/>
    <n v="0.1"/>
    <n v="34.590000000000003"/>
    <n v="4.0258379888268157E-2"/>
    <s v="profit"/>
    <s v="low"/>
    <s v="slow"/>
  </r>
  <r>
    <s v="ORD-1081"/>
    <d v="2023-11-18T00:00:00"/>
    <d v="2023-11-22T00:00:00"/>
    <n v="4"/>
    <x v="2"/>
    <x v="6"/>
    <x v="0"/>
    <s v="Q4"/>
    <x v="1"/>
    <x v="2"/>
    <x v="2"/>
    <x v="2"/>
    <n v="649.19000000000005"/>
    <x v="5"/>
    <n v="0.2"/>
    <n v="-19.420000000000002"/>
    <n v="-2.9914200773271307E-2"/>
    <s v="loss"/>
    <s v="low"/>
    <s v="Normal"/>
  </r>
  <r>
    <s v="ORD-1082"/>
    <d v="2023-06-26T00:00:00"/>
    <d v="2023-06-28T00:00:00"/>
    <n v="2"/>
    <x v="1"/>
    <x v="4"/>
    <x v="0"/>
    <s v="Q2"/>
    <x v="2"/>
    <x v="2"/>
    <x v="2"/>
    <x v="8"/>
    <n v="789.63"/>
    <x v="3"/>
    <n v="0.3"/>
    <n v="-135.47999999999999"/>
    <n v="-0.17157402834238819"/>
    <s v="loss"/>
    <s v="medium"/>
    <s v="faster"/>
  </r>
  <r>
    <s v="ORD-1083"/>
    <d v="2023-02-21T00:00:00"/>
    <d v="2023-02-25T00:00:00"/>
    <n v="4"/>
    <x v="1"/>
    <x v="1"/>
    <x v="0"/>
    <s v="Q1"/>
    <x v="2"/>
    <x v="2"/>
    <x v="2"/>
    <x v="7"/>
    <n v="29.01"/>
    <x v="0"/>
    <n v="0.1"/>
    <n v="45.81"/>
    <n v="1.5791106514994828"/>
    <s v="profit"/>
    <s v="low"/>
    <s v="Normal"/>
  </r>
  <r>
    <s v="ORD-1084"/>
    <d v="2023-02-25T00:00:00"/>
    <d v="2023-02-26T00:00:00"/>
    <n v="1"/>
    <x v="1"/>
    <x v="1"/>
    <x v="0"/>
    <s v="Q1"/>
    <x v="2"/>
    <x v="3"/>
    <x v="0"/>
    <x v="3"/>
    <n v="974.19"/>
    <x v="4"/>
    <n v="0.1"/>
    <n v="-8.74"/>
    <n v="-8.9715558566604049E-3"/>
    <s v="loss"/>
    <s v="low"/>
    <s v="faster"/>
  </r>
  <r>
    <s v="ORD-1085"/>
    <d v="2023-11-11T00:00:00"/>
    <d v="2023-11-18T00:00:00"/>
    <n v="7"/>
    <x v="2"/>
    <x v="6"/>
    <x v="0"/>
    <s v="Q4"/>
    <x v="0"/>
    <x v="2"/>
    <x v="1"/>
    <x v="4"/>
    <n v="557.76"/>
    <x v="8"/>
    <n v="0.1"/>
    <n v="11.39"/>
    <n v="2.0420969592656341E-2"/>
    <s v="profit"/>
    <s v="low"/>
    <s v="slow"/>
  </r>
  <r>
    <s v="ORD-1086"/>
    <d v="2023-03-13T00:00:00"/>
    <d v="2023-03-15T00:00:00"/>
    <n v="2"/>
    <x v="1"/>
    <x v="3"/>
    <x v="0"/>
    <s v="Q1"/>
    <x v="0"/>
    <x v="3"/>
    <x v="0"/>
    <x v="0"/>
    <n v="994.57"/>
    <x v="8"/>
    <n v="0.3"/>
    <n v="-169.06"/>
    <n v="-0.16998300773198466"/>
    <s v="loss"/>
    <s v="medium"/>
    <s v="faster"/>
  </r>
  <r>
    <s v="ORD-1087"/>
    <d v="2023-08-17T00:00:00"/>
    <d v="2023-08-22T00:00:00"/>
    <n v="5"/>
    <x v="2"/>
    <x v="10"/>
    <x v="0"/>
    <s v="Q3"/>
    <x v="2"/>
    <x v="2"/>
    <x v="2"/>
    <x v="8"/>
    <n v="252.5"/>
    <x v="4"/>
    <n v="0"/>
    <n v="17.77"/>
    <n v="7.0376237623762369E-2"/>
    <s v="profit"/>
    <s v="No Discount"/>
    <s v="slow"/>
  </r>
  <r>
    <s v="ORD-1088"/>
    <d v="2023-07-25T00:00:00"/>
    <d v="2023-07-30T00:00:00"/>
    <n v="5"/>
    <x v="0"/>
    <x v="5"/>
    <x v="0"/>
    <s v="Q3"/>
    <x v="0"/>
    <x v="2"/>
    <x v="1"/>
    <x v="4"/>
    <n v="379.14"/>
    <x v="1"/>
    <n v="0.3"/>
    <n v="-36.380000000000003"/>
    <n v="-9.5954001160521191E-2"/>
    <s v="loss"/>
    <s v="medium"/>
    <s v="slow"/>
  </r>
  <r>
    <s v="ORD-1089"/>
    <d v="2023-09-07T00:00:00"/>
    <d v="2023-09-10T00:00:00"/>
    <n v="3"/>
    <x v="1"/>
    <x v="7"/>
    <x v="0"/>
    <s v="Q3"/>
    <x v="1"/>
    <x v="1"/>
    <x v="0"/>
    <x v="5"/>
    <n v="664.46"/>
    <x v="4"/>
    <n v="0"/>
    <n v="84.42"/>
    <n v="0.12705053727839147"/>
    <s v="profit"/>
    <s v="No Discount"/>
    <s v="Normal"/>
  </r>
  <r>
    <s v="ORD-1090"/>
    <d v="2023-06-16T00:00:00"/>
    <d v="2023-06-21T00:00:00"/>
    <n v="5"/>
    <x v="1"/>
    <x v="4"/>
    <x v="0"/>
    <s v="Q2"/>
    <x v="2"/>
    <x v="3"/>
    <x v="0"/>
    <x v="3"/>
    <n v="518.64"/>
    <x v="4"/>
    <n v="0.1"/>
    <n v="-1.44"/>
    <n v="-2.7764923646459972E-3"/>
    <s v="loss"/>
    <s v="low"/>
    <s v="slow"/>
  </r>
  <r>
    <s v="ORD-1091"/>
    <d v="2023-08-10T00:00:00"/>
    <d v="2023-08-11T00:00:00"/>
    <n v="1"/>
    <x v="3"/>
    <x v="10"/>
    <x v="0"/>
    <s v="Q3"/>
    <x v="2"/>
    <x v="3"/>
    <x v="0"/>
    <x v="3"/>
    <n v="259.11"/>
    <x v="8"/>
    <n v="0.1"/>
    <n v="48.52"/>
    <n v="0.18725637760024699"/>
    <s v="profit"/>
    <s v="low"/>
    <s v="faster"/>
  </r>
  <r>
    <s v="ORD-1092"/>
    <d v="2023-05-02T00:00:00"/>
    <d v="2023-05-05T00:00:00"/>
    <n v="3"/>
    <x v="0"/>
    <x v="0"/>
    <x v="0"/>
    <s v="Q2"/>
    <x v="0"/>
    <x v="3"/>
    <x v="0"/>
    <x v="5"/>
    <n v="497.01"/>
    <x v="9"/>
    <n v="0.3"/>
    <n v="-75.22"/>
    <n v="-0.15134504335928856"/>
    <s v="loss"/>
    <s v="medium"/>
    <s v="Normal"/>
  </r>
  <r>
    <s v="ORD-1093"/>
    <d v="2023-07-30T00:00:00"/>
    <d v="2023-08-03T00:00:00"/>
    <n v="4"/>
    <x v="1"/>
    <x v="5"/>
    <x v="0"/>
    <s v="Q3"/>
    <x v="2"/>
    <x v="0"/>
    <x v="1"/>
    <x v="6"/>
    <n v="798.92"/>
    <x v="4"/>
    <n v="0.1"/>
    <n v="25.16"/>
    <n v="3.1492514895108396E-2"/>
    <s v="profit"/>
    <s v="low"/>
    <s v="Normal"/>
  </r>
  <r>
    <s v="ORD-1094"/>
    <d v="2023-04-02T00:00:00"/>
    <d v="2023-04-05T00:00:00"/>
    <n v="3"/>
    <x v="0"/>
    <x v="11"/>
    <x v="0"/>
    <s v="Q2"/>
    <x v="0"/>
    <x v="1"/>
    <x v="1"/>
    <x v="1"/>
    <n v="675.55"/>
    <x v="2"/>
    <n v="0"/>
    <n v="61.22"/>
    <n v="9.0622455776774483E-2"/>
    <s v="profit"/>
    <s v="No Discount"/>
    <s v="Normal"/>
  </r>
  <r>
    <s v="ORD-1095"/>
    <d v="2023-10-11T00:00:00"/>
    <d v="2023-10-12T00:00:00"/>
    <n v="1"/>
    <x v="0"/>
    <x v="2"/>
    <x v="0"/>
    <s v="Q4"/>
    <x v="0"/>
    <x v="1"/>
    <x v="0"/>
    <x v="0"/>
    <n v="728"/>
    <x v="1"/>
    <n v="0.2"/>
    <n v="-52.76"/>
    <n v="-7.247252747252747E-2"/>
    <s v="loss"/>
    <s v="low"/>
    <s v="faster"/>
  </r>
  <r>
    <s v="ORD-1096"/>
    <d v="2023-03-08T00:00:00"/>
    <d v="2023-03-15T00:00:00"/>
    <n v="7"/>
    <x v="0"/>
    <x v="3"/>
    <x v="0"/>
    <s v="Q1"/>
    <x v="0"/>
    <x v="3"/>
    <x v="1"/>
    <x v="6"/>
    <n v="773.18"/>
    <x v="2"/>
    <n v="0.3"/>
    <n v="-162.24"/>
    <n v="-0.20983470860601675"/>
    <s v="loss"/>
    <s v="medium"/>
    <s v="slow"/>
  </r>
  <r>
    <s v="ORD-1097"/>
    <d v="2023-12-01T00:00:00"/>
    <d v="2023-12-07T00:00:00"/>
    <n v="6"/>
    <x v="3"/>
    <x v="9"/>
    <x v="0"/>
    <s v="Q4"/>
    <x v="2"/>
    <x v="2"/>
    <x v="1"/>
    <x v="1"/>
    <n v="941.65"/>
    <x v="2"/>
    <n v="0"/>
    <n v="93.73"/>
    <n v="9.9538044921149052E-2"/>
    <s v="profit"/>
    <s v="No Discount"/>
    <s v="slow"/>
  </r>
  <r>
    <s v="ORD-1098"/>
    <d v="2023-12-23T00:00:00"/>
    <d v="2023-12-30T00:00:00"/>
    <n v="7"/>
    <x v="3"/>
    <x v="9"/>
    <x v="0"/>
    <s v="Q4"/>
    <x v="1"/>
    <x v="0"/>
    <x v="1"/>
    <x v="1"/>
    <n v="885.82"/>
    <x v="8"/>
    <n v="0.3"/>
    <n v="-196.08"/>
    <n v="-0.22135422546341244"/>
    <s v="loss"/>
    <s v="medium"/>
    <s v="slow"/>
  </r>
  <r>
    <s v="ORD-1099"/>
    <d v="2023-04-28T00:00:00"/>
    <d v="2023-04-29T00:00:00"/>
    <n v="1"/>
    <x v="1"/>
    <x v="11"/>
    <x v="0"/>
    <s v="Q2"/>
    <x v="2"/>
    <x v="3"/>
    <x v="1"/>
    <x v="6"/>
    <n v="929.75"/>
    <x v="3"/>
    <n v="0"/>
    <n v="111.67"/>
    <n v="0.12010755579456843"/>
    <s v="profit"/>
    <s v="No Discount"/>
    <s v="faster"/>
  </r>
  <r>
    <s v="ORD-1100"/>
    <d v="2023-08-15T00:00:00"/>
    <d v="2023-08-19T00:00:00"/>
    <n v="4"/>
    <x v="3"/>
    <x v="10"/>
    <x v="0"/>
    <s v="Q3"/>
    <x v="0"/>
    <x v="1"/>
    <x v="1"/>
    <x v="4"/>
    <n v="580.85"/>
    <x v="4"/>
    <n v="0.3"/>
    <n v="-76.459999999999994"/>
    <n v="-0.13163467332357751"/>
    <s v="loss"/>
    <s v="medium"/>
    <s v="Normal"/>
  </r>
  <r>
    <s v="ORD-1101"/>
    <d v="2023-02-11T00:00:00"/>
    <d v="2023-02-15T00:00:00"/>
    <n v="4"/>
    <x v="3"/>
    <x v="1"/>
    <x v="0"/>
    <s v="Q1"/>
    <x v="1"/>
    <x v="0"/>
    <x v="2"/>
    <x v="8"/>
    <n v="308.56"/>
    <x v="4"/>
    <n v="0"/>
    <n v="24.22"/>
    <n v="7.8493647912885656E-2"/>
    <s v="profit"/>
    <s v="No Discount"/>
    <s v="Normal"/>
  </r>
  <r>
    <s v="ORD-1102"/>
    <d v="2023-10-02T00:00:00"/>
    <d v="2023-10-04T00:00:00"/>
    <n v="2"/>
    <x v="3"/>
    <x v="2"/>
    <x v="0"/>
    <s v="Q4"/>
    <x v="1"/>
    <x v="0"/>
    <x v="0"/>
    <x v="0"/>
    <n v="283.11"/>
    <x v="5"/>
    <n v="0.2"/>
    <n v="-36.450000000000003"/>
    <n v="-0.12874854296916394"/>
    <s v="loss"/>
    <s v="low"/>
    <s v="faster"/>
  </r>
  <r>
    <s v="ORD-1103"/>
    <d v="2023-04-26T00:00:00"/>
    <d v="2023-05-03T00:00:00"/>
    <n v="7"/>
    <x v="3"/>
    <x v="11"/>
    <x v="0"/>
    <s v="Q2"/>
    <x v="2"/>
    <x v="0"/>
    <x v="1"/>
    <x v="6"/>
    <n v="565.66999999999996"/>
    <x v="9"/>
    <n v="0.2"/>
    <n v="-17.47"/>
    <n v="-3.0883730797107854E-2"/>
    <s v="loss"/>
    <s v="low"/>
    <s v="slow"/>
  </r>
  <r>
    <s v="ORD-1104"/>
    <d v="2023-04-23T00:00:00"/>
    <d v="2023-04-24T00:00:00"/>
    <n v="1"/>
    <x v="2"/>
    <x v="11"/>
    <x v="0"/>
    <s v="Q2"/>
    <x v="1"/>
    <x v="1"/>
    <x v="1"/>
    <x v="4"/>
    <n v="931.42"/>
    <x v="9"/>
    <n v="0.1"/>
    <n v="-13.2"/>
    <n v="-1.4171909557449914E-2"/>
    <s v="loss"/>
    <s v="low"/>
    <s v="faster"/>
  </r>
  <r>
    <s v="ORD-1105"/>
    <d v="2023-05-09T00:00:00"/>
    <d v="2023-05-10T00:00:00"/>
    <n v="1"/>
    <x v="3"/>
    <x v="0"/>
    <x v="0"/>
    <s v="Q2"/>
    <x v="0"/>
    <x v="3"/>
    <x v="0"/>
    <x v="3"/>
    <n v="622.71"/>
    <x v="0"/>
    <n v="0.1"/>
    <n v="5.1100000000000003"/>
    <n v="8.2060670295964408E-3"/>
    <s v="profit"/>
    <s v="low"/>
    <s v="faster"/>
  </r>
  <r>
    <s v="ORD-1106"/>
    <d v="2023-05-16T00:00:00"/>
    <d v="2023-05-23T00:00:00"/>
    <n v="7"/>
    <x v="1"/>
    <x v="0"/>
    <x v="0"/>
    <s v="Q2"/>
    <x v="2"/>
    <x v="1"/>
    <x v="2"/>
    <x v="7"/>
    <n v="269.08"/>
    <x v="7"/>
    <n v="0.1"/>
    <n v="41.42"/>
    <n v="0.1539319161587632"/>
    <s v="profit"/>
    <s v="low"/>
    <s v="slow"/>
  </r>
  <r>
    <s v="ORD-1107"/>
    <d v="2023-01-04T00:00:00"/>
    <d v="2023-01-08T00:00:00"/>
    <n v="4"/>
    <x v="0"/>
    <x v="8"/>
    <x v="0"/>
    <s v="Q1"/>
    <x v="1"/>
    <x v="1"/>
    <x v="2"/>
    <x v="2"/>
    <n v="745.95"/>
    <x v="1"/>
    <n v="0"/>
    <n v="64.16"/>
    <n v="8.6011126751122713E-2"/>
    <s v="profit"/>
    <s v="No Discount"/>
    <s v="Normal"/>
  </r>
  <r>
    <s v="ORD-1108"/>
    <d v="2023-05-28T00:00:00"/>
    <d v="2023-06-03T00:00:00"/>
    <n v="6"/>
    <x v="1"/>
    <x v="0"/>
    <x v="0"/>
    <s v="Q2"/>
    <x v="0"/>
    <x v="2"/>
    <x v="2"/>
    <x v="7"/>
    <n v="714.73"/>
    <x v="3"/>
    <n v="0.2"/>
    <n v="-70.92"/>
    <n v="-9.92262812530606E-2"/>
    <s v="loss"/>
    <s v="low"/>
    <s v="slow"/>
  </r>
  <r>
    <s v="ORD-1109"/>
    <d v="2023-08-03T00:00:00"/>
    <d v="2023-08-09T00:00:00"/>
    <n v="6"/>
    <x v="1"/>
    <x v="10"/>
    <x v="0"/>
    <s v="Q3"/>
    <x v="2"/>
    <x v="3"/>
    <x v="0"/>
    <x v="0"/>
    <n v="813.17"/>
    <x v="2"/>
    <n v="0.2"/>
    <n v="-83.38"/>
    <n v="-0.10253698488630913"/>
    <s v="loss"/>
    <s v="low"/>
    <s v="slow"/>
  </r>
  <r>
    <s v="ORD-1110"/>
    <d v="2023-04-28T00:00:00"/>
    <d v="2023-05-01T00:00:00"/>
    <n v="3"/>
    <x v="1"/>
    <x v="11"/>
    <x v="0"/>
    <s v="Q2"/>
    <x v="2"/>
    <x v="1"/>
    <x v="1"/>
    <x v="6"/>
    <n v="619.28"/>
    <x v="8"/>
    <n v="0.3"/>
    <n v="-108.06"/>
    <n v="-0.17449295956594757"/>
    <s v="loss"/>
    <s v="medium"/>
    <s v="Normal"/>
  </r>
  <r>
    <s v="ORD-1111"/>
    <d v="2023-01-28T00:00:00"/>
    <d v="2023-02-03T00:00:00"/>
    <n v="6"/>
    <x v="2"/>
    <x v="8"/>
    <x v="0"/>
    <s v="Q1"/>
    <x v="1"/>
    <x v="0"/>
    <x v="2"/>
    <x v="2"/>
    <n v="511.49"/>
    <x v="9"/>
    <n v="0"/>
    <n v="44.75"/>
    <n v="8.7489491485659543E-2"/>
    <s v="profit"/>
    <s v="No Discount"/>
    <s v="slow"/>
  </r>
  <r>
    <s v="ORD-1112"/>
    <d v="2023-12-26T00:00:00"/>
    <d v="2024-01-02T00:00:00"/>
    <n v="7"/>
    <x v="0"/>
    <x v="9"/>
    <x v="0"/>
    <s v="Q4"/>
    <x v="2"/>
    <x v="3"/>
    <x v="2"/>
    <x v="7"/>
    <n v="89.52"/>
    <x v="1"/>
    <n v="0.1"/>
    <n v="35.71"/>
    <n v="0.39890527256479003"/>
    <s v="profit"/>
    <s v="low"/>
    <s v="slow"/>
  </r>
  <r>
    <s v="ORD-1113"/>
    <d v="2023-02-09T00:00:00"/>
    <d v="2023-02-12T00:00:00"/>
    <n v="3"/>
    <x v="0"/>
    <x v="1"/>
    <x v="0"/>
    <s v="Q1"/>
    <x v="2"/>
    <x v="0"/>
    <x v="1"/>
    <x v="1"/>
    <n v="892.21"/>
    <x v="1"/>
    <n v="0.2"/>
    <n v="-107.29"/>
    <n v="-0.1202519586196075"/>
    <s v="loss"/>
    <s v="low"/>
    <s v="Normal"/>
  </r>
  <r>
    <s v="ORD-1114"/>
    <d v="2023-03-05T00:00:00"/>
    <d v="2023-03-07T00:00:00"/>
    <n v="2"/>
    <x v="0"/>
    <x v="3"/>
    <x v="0"/>
    <s v="Q1"/>
    <x v="1"/>
    <x v="2"/>
    <x v="2"/>
    <x v="7"/>
    <n v="587.29"/>
    <x v="9"/>
    <n v="0.3"/>
    <n v="-96.98"/>
    <n v="-0.16513136610533127"/>
    <s v="loss"/>
    <s v="medium"/>
    <s v="faster"/>
  </r>
  <r>
    <s v="ORD-1115"/>
    <d v="2023-07-05T00:00:00"/>
    <d v="2023-07-09T00:00:00"/>
    <n v="4"/>
    <x v="3"/>
    <x v="5"/>
    <x v="0"/>
    <s v="Q3"/>
    <x v="1"/>
    <x v="0"/>
    <x v="0"/>
    <x v="5"/>
    <n v="55.22"/>
    <x v="8"/>
    <n v="0"/>
    <n v="-3.63"/>
    <n v="-6.5737051792828682E-2"/>
    <s v="loss"/>
    <s v="No Discount"/>
    <s v="Normal"/>
  </r>
  <r>
    <s v="ORD-1116"/>
    <d v="2023-03-22T00:00:00"/>
    <d v="2023-03-23T00:00:00"/>
    <n v="1"/>
    <x v="2"/>
    <x v="3"/>
    <x v="0"/>
    <s v="Q1"/>
    <x v="2"/>
    <x v="3"/>
    <x v="0"/>
    <x v="5"/>
    <n v="982.2"/>
    <x v="1"/>
    <n v="0.1"/>
    <n v="21.36"/>
    <n v="2.1747098350641415E-2"/>
    <s v="profit"/>
    <s v="low"/>
    <s v="faster"/>
  </r>
  <r>
    <s v="ORD-1117"/>
    <d v="2023-07-07T00:00:00"/>
    <d v="2023-07-10T00:00:00"/>
    <n v="3"/>
    <x v="2"/>
    <x v="5"/>
    <x v="0"/>
    <s v="Q3"/>
    <x v="0"/>
    <x v="2"/>
    <x v="0"/>
    <x v="0"/>
    <n v="49.89"/>
    <x v="9"/>
    <n v="0.3"/>
    <n v="-27.26"/>
    <n v="-0.54640208458608941"/>
    <s v="loss"/>
    <s v="medium"/>
    <s v="Normal"/>
  </r>
  <r>
    <s v="ORD-1118"/>
    <d v="2023-09-29T00:00:00"/>
    <d v="2023-10-02T00:00:00"/>
    <n v="3"/>
    <x v="0"/>
    <x v="7"/>
    <x v="0"/>
    <s v="Q3"/>
    <x v="1"/>
    <x v="0"/>
    <x v="2"/>
    <x v="7"/>
    <n v="317.2"/>
    <x v="6"/>
    <n v="0.2"/>
    <n v="-42.83"/>
    <n v="-0.13502522068095837"/>
    <s v="loss"/>
    <s v="low"/>
    <s v="Normal"/>
  </r>
  <r>
    <s v="ORD-1119"/>
    <d v="2023-12-18T00:00:00"/>
    <d v="2023-12-24T00:00:00"/>
    <n v="6"/>
    <x v="3"/>
    <x v="9"/>
    <x v="0"/>
    <s v="Q4"/>
    <x v="1"/>
    <x v="3"/>
    <x v="1"/>
    <x v="1"/>
    <n v="531.79999999999995"/>
    <x v="1"/>
    <n v="0"/>
    <n v="52.19"/>
    <n v="9.8138397893945101E-2"/>
    <s v="profit"/>
    <s v="No Discount"/>
    <s v="slow"/>
  </r>
  <r>
    <s v="ORD-1120"/>
    <d v="2023-08-01T00:00:00"/>
    <d v="2023-08-06T00:00:00"/>
    <n v="5"/>
    <x v="0"/>
    <x v="10"/>
    <x v="0"/>
    <s v="Q3"/>
    <x v="0"/>
    <x v="3"/>
    <x v="1"/>
    <x v="4"/>
    <n v="965.95"/>
    <x v="0"/>
    <n v="0.2"/>
    <n v="-110.62"/>
    <n v="-0.11451938506133857"/>
    <s v="loss"/>
    <s v="low"/>
    <s v="slow"/>
  </r>
  <r>
    <s v="ORD-1121"/>
    <d v="2023-08-20T00:00:00"/>
    <d v="2023-08-24T00:00:00"/>
    <n v="4"/>
    <x v="2"/>
    <x v="10"/>
    <x v="0"/>
    <s v="Q3"/>
    <x v="1"/>
    <x v="3"/>
    <x v="1"/>
    <x v="1"/>
    <n v="70.650000000000006"/>
    <x v="1"/>
    <n v="0.3"/>
    <n v="-5.34"/>
    <n v="-7.5583864118895963E-2"/>
    <s v="loss"/>
    <s v="medium"/>
    <s v="Normal"/>
  </r>
  <r>
    <s v="ORD-1122"/>
    <d v="2023-06-02T00:00:00"/>
    <d v="2023-06-04T00:00:00"/>
    <n v="2"/>
    <x v="3"/>
    <x v="4"/>
    <x v="0"/>
    <s v="Q2"/>
    <x v="1"/>
    <x v="2"/>
    <x v="1"/>
    <x v="1"/>
    <n v="705.52"/>
    <x v="7"/>
    <n v="0.3"/>
    <n v="-110.28"/>
    <n v="-0.15631023925615151"/>
    <s v="loss"/>
    <s v="medium"/>
    <s v="faster"/>
  </r>
  <r>
    <s v="ORD-1123"/>
    <d v="2023-12-29T00:00:00"/>
    <d v="2024-01-01T00:00:00"/>
    <n v="3"/>
    <x v="2"/>
    <x v="9"/>
    <x v="0"/>
    <s v="Q4"/>
    <x v="0"/>
    <x v="3"/>
    <x v="0"/>
    <x v="0"/>
    <n v="976.34"/>
    <x v="7"/>
    <n v="0.3"/>
    <n v="-165.25"/>
    <n v="-0.16925456295962471"/>
    <s v="loss"/>
    <s v="medium"/>
    <s v="Normal"/>
  </r>
  <r>
    <s v="ORD-1124"/>
    <d v="2023-04-17T00:00:00"/>
    <d v="2023-04-19T00:00:00"/>
    <n v="2"/>
    <x v="0"/>
    <x v="11"/>
    <x v="0"/>
    <s v="Q2"/>
    <x v="1"/>
    <x v="1"/>
    <x v="2"/>
    <x v="2"/>
    <n v="60.25"/>
    <x v="0"/>
    <n v="0.3"/>
    <n v="-13.09"/>
    <n v="-0.21726141078838174"/>
    <s v="loss"/>
    <s v="medium"/>
    <s v="faster"/>
  </r>
  <r>
    <s v="ORD-1125"/>
    <d v="2023-06-24T00:00:00"/>
    <d v="2023-06-26T00:00:00"/>
    <n v="2"/>
    <x v="0"/>
    <x v="4"/>
    <x v="0"/>
    <s v="Q2"/>
    <x v="0"/>
    <x v="0"/>
    <x v="1"/>
    <x v="4"/>
    <n v="450.19"/>
    <x v="2"/>
    <n v="0.2"/>
    <n v="-47.46"/>
    <n v="-0.10542215509007308"/>
    <s v="loss"/>
    <s v="low"/>
    <s v="faster"/>
  </r>
  <r>
    <s v="ORD-1126"/>
    <d v="2023-11-29T00:00:00"/>
    <d v="2023-12-01T00:00:00"/>
    <n v="2"/>
    <x v="0"/>
    <x v="6"/>
    <x v="0"/>
    <s v="Q4"/>
    <x v="1"/>
    <x v="1"/>
    <x v="0"/>
    <x v="5"/>
    <n v="200.65"/>
    <x v="5"/>
    <n v="0.1"/>
    <n v="38.520000000000003"/>
    <n v="0.19197607774732123"/>
    <s v="profit"/>
    <s v="low"/>
    <s v="faster"/>
  </r>
  <r>
    <s v="ORD-1127"/>
    <d v="2023-06-17T00:00:00"/>
    <d v="2023-06-20T00:00:00"/>
    <n v="3"/>
    <x v="0"/>
    <x v="4"/>
    <x v="0"/>
    <s v="Q2"/>
    <x v="1"/>
    <x v="0"/>
    <x v="0"/>
    <x v="3"/>
    <n v="702.05"/>
    <x v="3"/>
    <n v="0"/>
    <n v="54.28"/>
    <n v="7.7316430453671398E-2"/>
    <s v="profit"/>
    <s v="No Discount"/>
    <s v="Normal"/>
  </r>
  <r>
    <s v="ORD-1128"/>
    <d v="2023-09-20T00:00:00"/>
    <d v="2023-09-21T00:00:00"/>
    <n v="1"/>
    <x v="3"/>
    <x v="7"/>
    <x v="0"/>
    <s v="Q3"/>
    <x v="2"/>
    <x v="0"/>
    <x v="0"/>
    <x v="3"/>
    <n v="916.91"/>
    <x v="6"/>
    <n v="0.2"/>
    <n v="-94.17"/>
    <n v="-0.10270364594125923"/>
    <s v="loss"/>
    <s v="low"/>
    <s v="faster"/>
  </r>
  <r>
    <s v="ORD-1129"/>
    <d v="2023-09-02T00:00:00"/>
    <d v="2023-09-04T00:00:00"/>
    <n v="2"/>
    <x v="3"/>
    <x v="7"/>
    <x v="0"/>
    <s v="Q3"/>
    <x v="0"/>
    <x v="0"/>
    <x v="1"/>
    <x v="4"/>
    <n v="558.24"/>
    <x v="9"/>
    <n v="0.3"/>
    <n v="-118.85"/>
    <n v="-0.21290126110633417"/>
    <s v="loss"/>
    <s v="medium"/>
    <s v="faster"/>
  </r>
  <r>
    <s v="ORD-1130"/>
    <d v="2023-09-30T00:00:00"/>
    <d v="2023-10-03T00:00:00"/>
    <n v="3"/>
    <x v="0"/>
    <x v="7"/>
    <x v="0"/>
    <s v="Q3"/>
    <x v="2"/>
    <x v="1"/>
    <x v="0"/>
    <x v="5"/>
    <n v="935.92"/>
    <x v="4"/>
    <n v="0"/>
    <n v="140.43"/>
    <n v="0.15004487563039579"/>
    <s v="profit"/>
    <s v="No Discount"/>
    <s v="Normal"/>
  </r>
  <r>
    <s v="ORD-1131"/>
    <d v="2023-05-23T00:00:00"/>
    <d v="2023-05-29T00:00:00"/>
    <n v="6"/>
    <x v="1"/>
    <x v="0"/>
    <x v="0"/>
    <s v="Q2"/>
    <x v="0"/>
    <x v="3"/>
    <x v="1"/>
    <x v="1"/>
    <n v="743.14"/>
    <x v="0"/>
    <n v="0.2"/>
    <n v="-63.82"/>
    <n v="-8.5878838442285443E-2"/>
    <s v="loss"/>
    <s v="low"/>
    <s v="slow"/>
  </r>
  <r>
    <s v="ORD-1132"/>
    <d v="2023-05-31T00:00:00"/>
    <d v="2023-06-03T00:00:00"/>
    <n v="3"/>
    <x v="0"/>
    <x v="0"/>
    <x v="0"/>
    <s v="Q2"/>
    <x v="0"/>
    <x v="0"/>
    <x v="0"/>
    <x v="5"/>
    <n v="735.44"/>
    <x v="7"/>
    <n v="0.2"/>
    <n v="-76.2"/>
    <n v="-0.10361144348961165"/>
    <s v="loss"/>
    <s v="low"/>
    <s v="Normal"/>
  </r>
  <r>
    <s v="ORD-1133"/>
    <d v="2023-06-22T00:00:00"/>
    <d v="2023-06-24T00:00:00"/>
    <n v="2"/>
    <x v="0"/>
    <x v="4"/>
    <x v="0"/>
    <s v="Q2"/>
    <x v="0"/>
    <x v="1"/>
    <x v="1"/>
    <x v="6"/>
    <n v="368.85"/>
    <x v="2"/>
    <n v="0"/>
    <n v="25.3"/>
    <n v="6.8591568388233701E-2"/>
    <s v="profit"/>
    <s v="No Discount"/>
    <s v="faster"/>
  </r>
  <r>
    <s v="ORD-1134"/>
    <d v="2023-10-04T00:00:00"/>
    <d v="2023-10-10T00:00:00"/>
    <n v="6"/>
    <x v="3"/>
    <x v="2"/>
    <x v="0"/>
    <s v="Q4"/>
    <x v="1"/>
    <x v="1"/>
    <x v="1"/>
    <x v="4"/>
    <n v="355.04"/>
    <x v="4"/>
    <n v="0.3"/>
    <n v="-87.79"/>
    <n v="-0.24726791347453808"/>
    <s v="loss"/>
    <s v="medium"/>
    <s v="slow"/>
  </r>
  <r>
    <s v="ORD-1135"/>
    <d v="2023-03-19T00:00:00"/>
    <d v="2023-03-20T00:00:00"/>
    <n v="1"/>
    <x v="2"/>
    <x v="3"/>
    <x v="0"/>
    <s v="Q1"/>
    <x v="1"/>
    <x v="1"/>
    <x v="2"/>
    <x v="7"/>
    <n v="59.91"/>
    <x v="7"/>
    <n v="0.1"/>
    <n v="48.57"/>
    <n v="0.81071607411116675"/>
    <s v="profit"/>
    <s v="low"/>
    <s v="faster"/>
  </r>
  <r>
    <s v="ORD-1136"/>
    <d v="2023-03-04T00:00:00"/>
    <d v="2023-03-07T00:00:00"/>
    <n v="3"/>
    <x v="2"/>
    <x v="3"/>
    <x v="0"/>
    <s v="Q1"/>
    <x v="0"/>
    <x v="0"/>
    <x v="2"/>
    <x v="8"/>
    <n v="191.82"/>
    <x v="5"/>
    <n v="0.3"/>
    <n v="-51.52"/>
    <n v="-0.26858513189448446"/>
    <s v="loss"/>
    <s v="medium"/>
    <s v="Normal"/>
  </r>
  <r>
    <s v="ORD-1137"/>
    <d v="2023-07-21T00:00:00"/>
    <d v="2023-07-23T00:00:00"/>
    <n v="2"/>
    <x v="0"/>
    <x v="5"/>
    <x v="0"/>
    <s v="Q3"/>
    <x v="2"/>
    <x v="0"/>
    <x v="2"/>
    <x v="8"/>
    <n v="501.78"/>
    <x v="2"/>
    <n v="0.2"/>
    <n v="-45.94"/>
    <n v="-9.155406751963012E-2"/>
    <s v="loss"/>
    <s v="low"/>
    <s v="faster"/>
  </r>
  <r>
    <s v="ORD-1138"/>
    <d v="2023-12-08T00:00:00"/>
    <d v="2023-12-14T00:00:00"/>
    <n v="6"/>
    <x v="0"/>
    <x v="9"/>
    <x v="0"/>
    <s v="Q4"/>
    <x v="1"/>
    <x v="0"/>
    <x v="0"/>
    <x v="5"/>
    <n v="475.38"/>
    <x v="2"/>
    <n v="0"/>
    <n v="55.43"/>
    <n v="0.11660145567756321"/>
    <s v="profit"/>
    <s v="No Discount"/>
    <s v="slow"/>
  </r>
  <r>
    <s v="ORD-1139"/>
    <d v="2023-09-23T00:00:00"/>
    <d v="2023-09-27T00:00:00"/>
    <n v="4"/>
    <x v="1"/>
    <x v="7"/>
    <x v="0"/>
    <s v="Q3"/>
    <x v="0"/>
    <x v="3"/>
    <x v="0"/>
    <x v="3"/>
    <n v="623.53"/>
    <x v="4"/>
    <n v="0"/>
    <n v="104.42"/>
    <n v="0.16746587974917007"/>
    <s v="profit"/>
    <s v="No Discount"/>
    <s v="Normal"/>
  </r>
  <r>
    <s v="ORD-1140"/>
    <d v="2023-08-05T00:00:00"/>
    <d v="2023-08-11T00:00:00"/>
    <n v="6"/>
    <x v="3"/>
    <x v="10"/>
    <x v="0"/>
    <s v="Q3"/>
    <x v="1"/>
    <x v="3"/>
    <x v="1"/>
    <x v="4"/>
    <n v="275.68"/>
    <x v="1"/>
    <n v="0.1"/>
    <n v="23.81"/>
    <n v="8.6368253047011026E-2"/>
    <s v="profit"/>
    <s v="low"/>
    <s v="slow"/>
  </r>
  <r>
    <s v="ORD-1141"/>
    <d v="2023-09-18T00:00:00"/>
    <d v="2023-09-25T00:00:00"/>
    <n v="7"/>
    <x v="0"/>
    <x v="7"/>
    <x v="0"/>
    <s v="Q3"/>
    <x v="0"/>
    <x v="1"/>
    <x v="1"/>
    <x v="6"/>
    <n v="513.07000000000005"/>
    <x v="1"/>
    <n v="0"/>
    <n v="69.06"/>
    <n v="0.13460151636228973"/>
    <s v="profit"/>
    <s v="No Discount"/>
    <s v="slow"/>
  </r>
  <r>
    <s v="ORD-1142"/>
    <d v="2023-11-17T00:00:00"/>
    <d v="2023-11-21T00:00:00"/>
    <n v="4"/>
    <x v="3"/>
    <x v="6"/>
    <x v="0"/>
    <s v="Q4"/>
    <x v="0"/>
    <x v="1"/>
    <x v="1"/>
    <x v="6"/>
    <n v="690.28"/>
    <x v="8"/>
    <n v="0.3"/>
    <n v="-153.12"/>
    <n v="-0.2218230283363273"/>
    <s v="loss"/>
    <s v="medium"/>
    <s v="Normal"/>
  </r>
  <r>
    <s v="ORD-1143"/>
    <d v="2023-08-18T00:00:00"/>
    <d v="2023-08-25T00:00:00"/>
    <n v="7"/>
    <x v="3"/>
    <x v="10"/>
    <x v="0"/>
    <s v="Q3"/>
    <x v="2"/>
    <x v="1"/>
    <x v="2"/>
    <x v="7"/>
    <n v="649.57000000000005"/>
    <x v="9"/>
    <n v="0"/>
    <n v="105.66"/>
    <n v="0.1626614529611897"/>
    <s v="profit"/>
    <s v="No Discount"/>
    <s v="slow"/>
  </r>
  <r>
    <s v="ORD-1144"/>
    <d v="2023-01-21T00:00:00"/>
    <d v="2023-01-27T00:00:00"/>
    <n v="6"/>
    <x v="0"/>
    <x v="8"/>
    <x v="0"/>
    <s v="Q1"/>
    <x v="0"/>
    <x v="3"/>
    <x v="1"/>
    <x v="6"/>
    <n v="643.67999999999995"/>
    <x v="6"/>
    <n v="0.3"/>
    <n v="-108.45"/>
    <n v="-0.16848434004474275"/>
    <s v="loss"/>
    <s v="medium"/>
    <s v="slow"/>
  </r>
  <r>
    <s v="ORD-1145"/>
    <d v="2023-10-20T00:00:00"/>
    <d v="2023-10-27T00:00:00"/>
    <n v="7"/>
    <x v="1"/>
    <x v="2"/>
    <x v="0"/>
    <s v="Q4"/>
    <x v="0"/>
    <x v="1"/>
    <x v="1"/>
    <x v="6"/>
    <n v="400.41"/>
    <x v="0"/>
    <n v="0.3"/>
    <n v="-91.09"/>
    <n v="-0.22749182088359432"/>
    <s v="loss"/>
    <s v="medium"/>
    <s v="slow"/>
  </r>
  <r>
    <s v="ORD-1146"/>
    <d v="2023-06-10T00:00:00"/>
    <d v="2023-06-15T00:00:00"/>
    <n v="5"/>
    <x v="0"/>
    <x v="4"/>
    <x v="0"/>
    <s v="Q2"/>
    <x v="2"/>
    <x v="0"/>
    <x v="2"/>
    <x v="2"/>
    <n v="814.98"/>
    <x v="6"/>
    <n v="0.2"/>
    <n v="-35.6"/>
    <n v="-4.3682053547326315E-2"/>
    <s v="loss"/>
    <s v="low"/>
    <s v="slow"/>
  </r>
  <r>
    <s v="ORD-1147"/>
    <d v="2023-05-06T00:00:00"/>
    <d v="2023-05-11T00:00:00"/>
    <n v="5"/>
    <x v="2"/>
    <x v="0"/>
    <x v="0"/>
    <s v="Q2"/>
    <x v="2"/>
    <x v="1"/>
    <x v="0"/>
    <x v="5"/>
    <n v="398.38"/>
    <x v="7"/>
    <n v="0"/>
    <n v="65.44"/>
    <n v="0.1642652743611627"/>
    <s v="profit"/>
    <s v="No Discount"/>
    <s v="slow"/>
  </r>
  <r>
    <s v="ORD-1148"/>
    <d v="2023-06-22T00:00:00"/>
    <d v="2023-06-25T00:00:00"/>
    <n v="3"/>
    <x v="2"/>
    <x v="4"/>
    <x v="0"/>
    <s v="Q2"/>
    <x v="1"/>
    <x v="3"/>
    <x v="0"/>
    <x v="0"/>
    <n v="222.55"/>
    <x v="9"/>
    <n v="0"/>
    <n v="7.11"/>
    <n v="3.1947876881599641E-2"/>
    <s v="profit"/>
    <s v="No Discount"/>
    <s v="Normal"/>
  </r>
  <r>
    <s v="ORD-1149"/>
    <d v="2023-10-29T00:00:00"/>
    <d v="2023-11-03T00:00:00"/>
    <n v="5"/>
    <x v="2"/>
    <x v="2"/>
    <x v="0"/>
    <s v="Q4"/>
    <x v="0"/>
    <x v="2"/>
    <x v="1"/>
    <x v="4"/>
    <n v="118.76"/>
    <x v="4"/>
    <n v="0.1"/>
    <n v="-17.27"/>
    <n v="-0.14541933310879082"/>
    <s v="loss"/>
    <s v="low"/>
    <s v="slow"/>
  </r>
  <r>
    <s v="ORD-1150"/>
    <d v="2023-06-16T00:00:00"/>
    <d v="2023-06-22T00:00:00"/>
    <n v="6"/>
    <x v="0"/>
    <x v="4"/>
    <x v="0"/>
    <s v="Q2"/>
    <x v="2"/>
    <x v="3"/>
    <x v="1"/>
    <x v="4"/>
    <n v="625.89"/>
    <x v="5"/>
    <n v="0.2"/>
    <n v="-77.61"/>
    <n v="-0.12399942481905767"/>
    <s v="loss"/>
    <s v="low"/>
    <s v="slow"/>
  </r>
  <r>
    <s v="ORD-1151"/>
    <d v="2023-03-20T00:00:00"/>
    <d v="2023-03-27T00:00:00"/>
    <n v="7"/>
    <x v="0"/>
    <x v="3"/>
    <x v="0"/>
    <s v="Q1"/>
    <x v="2"/>
    <x v="2"/>
    <x v="0"/>
    <x v="3"/>
    <n v="332.6"/>
    <x v="5"/>
    <n v="0.1"/>
    <n v="27.71"/>
    <n v="8.3313289236319907E-2"/>
    <s v="profit"/>
    <s v="low"/>
    <s v="slow"/>
  </r>
  <r>
    <s v="ORD-1152"/>
    <d v="2023-08-12T00:00:00"/>
    <d v="2023-08-17T00:00:00"/>
    <n v="5"/>
    <x v="3"/>
    <x v="10"/>
    <x v="0"/>
    <s v="Q3"/>
    <x v="0"/>
    <x v="1"/>
    <x v="1"/>
    <x v="1"/>
    <n v="353.81"/>
    <x v="4"/>
    <n v="0.2"/>
    <n v="-35.65"/>
    <n v="-0.10076029507362709"/>
    <s v="loss"/>
    <s v="low"/>
    <s v="slow"/>
  </r>
  <r>
    <s v="ORD-1153"/>
    <d v="2023-07-17T00:00:00"/>
    <d v="2023-07-19T00:00:00"/>
    <n v="2"/>
    <x v="0"/>
    <x v="5"/>
    <x v="0"/>
    <s v="Q3"/>
    <x v="0"/>
    <x v="3"/>
    <x v="2"/>
    <x v="8"/>
    <n v="135.80000000000001"/>
    <x v="9"/>
    <n v="0"/>
    <n v="17.96"/>
    <n v="0.13225331369661267"/>
    <s v="profit"/>
    <s v="No Discount"/>
    <s v="faster"/>
  </r>
  <r>
    <s v="ORD-1154"/>
    <d v="2023-07-31T00:00:00"/>
    <d v="2023-08-03T00:00:00"/>
    <n v="3"/>
    <x v="1"/>
    <x v="5"/>
    <x v="0"/>
    <s v="Q3"/>
    <x v="1"/>
    <x v="0"/>
    <x v="0"/>
    <x v="3"/>
    <n v="937.92"/>
    <x v="5"/>
    <n v="0.3"/>
    <n v="-156.13"/>
    <n v="-0.16646409075400886"/>
    <s v="loss"/>
    <s v="medium"/>
    <s v="Normal"/>
  </r>
  <r>
    <s v="ORD-1155"/>
    <d v="2023-10-29T00:00:00"/>
    <d v="2023-11-01T00:00:00"/>
    <n v="3"/>
    <x v="2"/>
    <x v="2"/>
    <x v="0"/>
    <s v="Q4"/>
    <x v="1"/>
    <x v="1"/>
    <x v="1"/>
    <x v="4"/>
    <n v="807.41"/>
    <x v="6"/>
    <n v="0"/>
    <n v="99.1"/>
    <n v="0.12273813799680459"/>
    <s v="profit"/>
    <s v="No Discount"/>
    <s v="Normal"/>
  </r>
  <r>
    <s v="ORD-1156"/>
    <d v="2023-12-09T00:00:00"/>
    <d v="2023-12-14T00:00:00"/>
    <n v="5"/>
    <x v="3"/>
    <x v="9"/>
    <x v="0"/>
    <s v="Q4"/>
    <x v="2"/>
    <x v="3"/>
    <x v="2"/>
    <x v="2"/>
    <n v="435"/>
    <x v="6"/>
    <n v="0.3"/>
    <n v="-50.52"/>
    <n v="-0.11613793103448276"/>
    <s v="loss"/>
    <s v="medium"/>
    <s v="slow"/>
  </r>
  <r>
    <s v="ORD-1157"/>
    <d v="2023-03-07T00:00:00"/>
    <d v="2023-03-09T00:00:00"/>
    <n v="2"/>
    <x v="3"/>
    <x v="3"/>
    <x v="0"/>
    <s v="Q1"/>
    <x v="2"/>
    <x v="1"/>
    <x v="1"/>
    <x v="6"/>
    <n v="990.7"/>
    <x v="3"/>
    <n v="0.3"/>
    <n v="-209.2"/>
    <n v="-0.2111638235590996"/>
    <s v="loss"/>
    <s v="medium"/>
    <s v="faster"/>
  </r>
  <r>
    <s v="ORD-1158"/>
    <d v="2023-01-31T00:00:00"/>
    <d v="2023-02-02T00:00:00"/>
    <n v="2"/>
    <x v="0"/>
    <x v="8"/>
    <x v="0"/>
    <s v="Q1"/>
    <x v="1"/>
    <x v="3"/>
    <x v="1"/>
    <x v="6"/>
    <n v="265.02"/>
    <x v="2"/>
    <n v="0.3"/>
    <n v="-49.15"/>
    <n v="-0.18545770130556186"/>
    <s v="loss"/>
    <s v="medium"/>
    <s v="faster"/>
  </r>
  <r>
    <s v="ORD-1159"/>
    <d v="2023-07-26T00:00:00"/>
    <d v="2023-07-30T00:00:00"/>
    <n v="4"/>
    <x v="0"/>
    <x v="5"/>
    <x v="0"/>
    <s v="Q3"/>
    <x v="0"/>
    <x v="1"/>
    <x v="0"/>
    <x v="0"/>
    <n v="932.14"/>
    <x v="7"/>
    <n v="0"/>
    <n v="89.92"/>
    <n v="9.6466196064968784E-2"/>
    <s v="profit"/>
    <s v="No Discount"/>
    <s v="Normal"/>
  </r>
  <r>
    <s v="ORD-1160"/>
    <d v="2023-08-16T00:00:00"/>
    <d v="2023-08-20T00:00:00"/>
    <n v="4"/>
    <x v="3"/>
    <x v="10"/>
    <x v="0"/>
    <s v="Q3"/>
    <x v="1"/>
    <x v="3"/>
    <x v="0"/>
    <x v="5"/>
    <n v="686.25"/>
    <x v="4"/>
    <n v="0.2"/>
    <n v="-35.81"/>
    <n v="-5.2182149362477233E-2"/>
    <s v="loss"/>
    <s v="low"/>
    <s v="Normal"/>
  </r>
  <r>
    <s v="ORD-1161"/>
    <d v="2023-04-25T00:00:00"/>
    <d v="2023-05-02T00:00:00"/>
    <n v="7"/>
    <x v="0"/>
    <x v="11"/>
    <x v="0"/>
    <s v="Q2"/>
    <x v="0"/>
    <x v="0"/>
    <x v="2"/>
    <x v="8"/>
    <n v="121.06"/>
    <x v="6"/>
    <n v="0"/>
    <n v="29.51"/>
    <n v="0.24376342309598548"/>
    <s v="profit"/>
    <s v="No Discount"/>
    <s v="slow"/>
  </r>
  <r>
    <s v="ORD-1162"/>
    <d v="2023-03-16T00:00:00"/>
    <d v="2023-03-22T00:00:00"/>
    <n v="6"/>
    <x v="2"/>
    <x v="3"/>
    <x v="0"/>
    <s v="Q1"/>
    <x v="1"/>
    <x v="1"/>
    <x v="2"/>
    <x v="7"/>
    <n v="506.63"/>
    <x v="6"/>
    <n v="0"/>
    <n v="53.07"/>
    <n v="0.10475100171722954"/>
    <s v="profit"/>
    <s v="No Discount"/>
    <s v="slow"/>
  </r>
  <r>
    <s v="ORD-1163"/>
    <d v="2023-09-17T00:00:00"/>
    <d v="2023-09-21T00:00:00"/>
    <n v="4"/>
    <x v="2"/>
    <x v="7"/>
    <x v="0"/>
    <s v="Q3"/>
    <x v="1"/>
    <x v="0"/>
    <x v="2"/>
    <x v="8"/>
    <n v="897.61"/>
    <x v="8"/>
    <n v="0"/>
    <n v="73.5"/>
    <n v="8.1884114481790532E-2"/>
    <s v="profit"/>
    <s v="No Discount"/>
    <s v="Normal"/>
  </r>
  <r>
    <s v="ORD-1164"/>
    <d v="2023-12-01T00:00:00"/>
    <d v="2023-12-08T00:00:00"/>
    <n v="7"/>
    <x v="0"/>
    <x v="9"/>
    <x v="0"/>
    <s v="Q4"/>
    <x v="1"/>
    <x v="0"/>
    <x v="1"/>
    <x v="4"/>
    <n v="959.37"/>
    <x v="2"/>
    <n v="0.2"/>
    <n v="-109.55"/>
    <n v="-0.11418952020596849"/>
    <s v="loss"/>
    <s v="low"/>
    <s v="slow"/>
  </r>
  <r>
    <s v="ORD-1165"/>
    <d v="2023-10-30T00:00:00"/>
    <d v="2023-10-31T00:00:00"/>
    <n v="1"/>
    <x v="0"/>
    <x v="2"/>
    <x v="0"/>
    <s v="Q4"/>
    <x v="1"/>
    <x v="0"/>
    <x v="1"/>
    <x v="4"/>
    <n v="332.93"/>
    <x v="0"/>
    <n v="0.1"/>
    <n v="27.37"/>
    <n v="8.2209473462890092E-2"/>
    <s v="profit"/>
    <s v="low"/>
    <s v="faster"/>
  </r>
  <r>
    <s v="ORD-1166"/>
    <d v="2023-01-05T00:00:00"/>
    <d v="2023-01-10T00:00:00"/>
    <n v="5"/>
    <x v="3"/>
    <x v="8"/>
    <x v="0"/>
    <s v="Q1"/>
    <x v="0"/>
    <x v="3"/>
    <x v="1"/>
    <x v="6"/>
    <n v="492.87"/>
    <x v="4"/>
    <n v="0.1"/>
    <n v="24.23"/>
    <n v="4.9161036378761132E-2"/>
    <s v="profit"/>
    <s v="low"/>
    <s v="slow"/>
  </r>
  <r>
    <s v="ORD-1167"/>
    <d v="2023-01-22T00:00:00"/>
    <d v="2023-01-23T00:00:00"/>
    <n v="1"/>
    <x v="2"/>
    <x v="8"/>
    <x v="0"/>
    <s v="Q1"/>
    <x v="0"/>
    <x v="1"/>
    <x v="0"/>
    <x v="5"/>
    <n v="459.48"/>
    <x v="6"/>
    <n v="0.2"/>
    <n v="-23.78"/>
    <n v="-5.1754156872986852E-2"/>
    <s v="loss"/>
    <s v="low"/>
    <s v="faster"/>
  </r>
  <r>
    <s v="ORD-1168"/>
    <d v="2023-04-02T00:00:00"/>
    <d v="2023-04-05T00:00:00"/>
    <n v="3"/>
    <x v="3"/>
    <x v="11"/>
    <x v="0"/>
    <s v="Q2"/>
    <x v="2"/>
    <x v="1"/>
    <x v="1"/>
    <x v="4"/>
    <n v="562.63"/>
    <x v="2"/>
    <n v="0"/>
    <n v="88.93"/>
    <n v="0.15806124806711339"/>
    <s v="profit"/>
    <s v="No Discount"/>
    <s v="Normal"/>
  </r>
  <r>
    <s v="ORD-1169"/>
    <d v="2023-09-28T00:00:00"/>
    <d v="2023-10-03T00:00:00"/>
    <n v="5"/>
    <x v="2"/>
    <x v="7"/>
    <x v="0"/>
    <s v="Q3"/>
    <x v="0"/>
    <x v="2"/>
    <x v="2"/>
    <x v="2"/>
    <n v="795.75"/>
    <x v="7"/>
    <n v="0"/>
    <n v="67.52"/>
    <n v="8.4850769714106183E-2"/>
    <s v="profit"/>
    <s v="No Discount"/>
    <s v="slow"/>
  </r>
  <r>
    <s v="ORD-1170"/>
    <d v="2023-11-12T00:00:00"/>
    <d v="2023-11-18T00:00:00"/>
    <n v="6"/>
    <x v="2"/>
    <x v="6"/>
    <x v="0"/>
    <s v="Q4"/>
    <x v="1"/>
    <x v="3"/>
    <x v="2"/>
    <x v="8"/>
    <n v="932.31"/>
    <x v="9"/>
    <n v="0.1"/>
    <n v="-15.97"/>
    <n v="-1.7129495554053912E-2"/>
    <s v="loss"/>
    <s v="low"/>
    <s v="slow"/>
  </r>
  <r>
    <s v="ORD-1171"/>
    <d v="2023-12-25T00:00:00"/>
    <d v="2023-12-27T00:00:00"/>
    <n v="2"/>
    <x v="1"/>
    <x v="9"/>
    <x v="0"/>
    <s v="Q4"/>
    <x v="1"/>
    <x v="1"/>
    <x v="1"/>
    <x v="1"/>
    <n v="558.54"/>
    <x v="4"/>
    <n v="0"/>
    <n v="87.45"/>
    <n v="0.15656891180577936"/>
    <s v="profit"/>
    <s v="No Discount"/>
    <s v="faster"/>
  </r>
  <r>
    <s v="ORD-1172"/>
    <d v="2023-09-17T00:00:00"/>
    <d v="2023-09-18T00:00:00"/>
    <n v="1"/>
    <x v="0"/>
    <x v="7"/>
    <x v="0"/>
    <s v="Q3"/>
    <x v="0"/>
    <x v="2"/>
    <x v="1"/>
    <x v="1"/>
    <n v="555"/>
    <x v="1"/>
    <n v="0.2"/>
    <n v="-67.31"/>
    <n v="-0.12127927927927928"/>
    <s v="loss"/>
    <s v="low"/>
    <s v="faster"/>
  </r>
  <r>
    <s v="ORD-1173"/>
    <d v="2023-09-03T00:00:00"/>
    <d v="2023-09-10T00:00:00"/>
    <n v="7"/>
    <x v="3"/>
    <x v="7"/>
    <x v="0"/>
    <s v="Q3"/>
    <x v="2"/>
    <x v="1"/>
    <x v="2"/>
    <x v="8"/>
    <n v="160.13"/>
    <x v="7"/>
    <n v="0.1"/>
    <n v="38.590000000000003"/>
    <n v="0.24099169424842318"/>
    <s v="profit"/>
    <s v="low"/>
    <s v="slow"/>
  </r>
  <r>
    <s v="ORD-1174"/>
    <d v="2023-08-09T00:00:00"/>
    <d v="2023-08-16T00:00:00"/>
    <n v="7"/>
    <x v="0"/>
    <x v="10"/>
    <x v="0"/>
    <s v="Q3"/>
    <x v="0"/>
    <x v="2"/>
    <x v="0"/>
    <x v="3"/>
    <n v="869.53"/>
    <x v="3"/>
    <n v="0.1"/>
    <n v="-14.11"/>
    <n v="-1.6227157199866594E-2"/>
    <s v="loss"/>
    <s v="low"/>
    <s v="slow"/>
  </r>
  <r>
    <s v="ORD-1175"/>
    <d v="2023-03-29T00:00:00"/>
    <d v="2023-03-31T00:00:00"/>
    <n v="2"/>
    <x v="2"/>
    <x v="3"/>
    <x v="0"/>
    <s v="Q1"/>
    <x v="2"/>
    <x v="2"/>
    <x v="0"/>
    <x v="3"/>
    <n v="706.95"/>
    <x v="9"/>
    <n v="0.1"/>
    <n v="7.77"/>
    <n v="1.0990876299596858E-2"/>
    <s v="profit"/>
    <s v="low"/>
    <s v="faster"/>
  </r>
  <r>
    <s v="ORD-1176"/>
    <d v="2023-12-02T00:00:00"/>
    <d v="2023-12-05T00:00:00"/>
    <n v="3"/>
    <x v="1"/>
    <x v="9"/>
    <x v="0"/>
    <s v="Q4"/>
    <x v="0"/>
    <x v="0"/>
    <x v="0"/>
    <x v="5"/>
    <n v="894.06"/>
    <x v="7"/>
    <n v="0.1"/>
    <n v="-14.31"/>
    <n v="-1.6005637205556675E-2"/>
    <s v="loss"/>
    <s v="low"/>
    <s v="Normal"/>
  </r>
  <r>
    <s v="ORD-1177"/>
    <d v="2023-03-18T00:00:00"/>
    <d v="2023-03-20T00:00:00"/>
    <n v="2"/>
    <x v="3"/>
    <x v="3"/>
    <x v="0"/>
    <s v="Q1"/>
    <x v="2"/>
    <x v="1"/>
    <x v="0"/>
    <x v="5"/>
    <n v="103.14"/>
    <x v="9"/>
    <n v="0.2"/>
    <n v="10.38"/>
    <n v="0.10063990692262945"/>
    <s v="profit"/>
    <s v="low"/>
    <s v="faster"/>
  </r>
  <r>
    <s v="ORD-1178"/>
    <d v="2023-08-04T00:00:00"/>
    <d v="2023-08-06T00:00:00"/>
    <n v="2"/>
    <x v="1"/>
    <x v="10"/>
    <x v="0"/>
    <s v="Q3"/>
    <x v="1"/>
    <x v="2"/>
    <x v="0"/>
    <x v="5"/>
    <n v="865.88"/>
    <x v="4"/>
    <n v="0.1"/>
    <n v="36.9"/>
    <n v="4.2615604933709056E-2"/>
    <s v="profit"/>
    <s v="low"/>
    <s v="faster"/>
  </r>
  <r>
    <s v="ORD-1179"/>
    <d v="2023-05-27T00:00:00"/>
    <d v="2023-06-02T00:00:00"/>
    <n v="6"/>
    <x v="0"/>
    <x v="0"/>
    <x v="0"/>
    <s v="Q2"/>
    <x v="0"/>
    <x v="0"/>
    <x v="1"/>
    <x v="6"/>
    <n v="948.3"/>
    <x v="2"/>
    <n v="0"/>
    <n v="116.26"/>
    <n v="0.12259833386059266"/>
    <s v="profit"/>
    <s v="No Discount"/>
    <s v="slow"/>
  </r>
  <r>
    <s v="ORD-1180"/>
    <d v="2023-07-09T00:00:00"/>
    <d v="2023-07-14T00:00:00"/>
    <n v="5"/>
    <x v="2"/>
    <x v="5"/>
    <x v="0"/>
    <s v="Q3"/>
    <x v="1"/>
    <x v="2"/>
    <x v="0"/>
    <x v="5"/>
    <n v="363.21"/>
    <x v="7"/>
    <n v="0.3"/>
    <n v="-86.8"/>
    <n v="-0.23898020428952949"/>
    <s v="loss"/>
    <s v="medium"/>
    <s v="slow"/>
  </r>
  <r>
    <s v="ORD-1181"/>
    <d v="2023-04-06T00:00:00"/>
    <d v="2023-04-07T00:00:00"/>
    <n v="1"/>
    <x v="0"/>
    <x v="11"/>
    <x v="0"/>
    <s v="Q2"/>
    <x v="2"/>
    <x v="0"/>
    <x v="1"/>
    <x v="4"/>
    <n v="781.6"/>
    <x v="7"/>
    <n v="0.1"/>
    <n v="29.36"/>
    <n v="3.7563971340839303E-2"/>
    <s v="profit"/>
    <s v="low"/>
    <s v="faster"/>
  </r>
  <r>
    <s v="ORD-1182"/>
    <d v="2023-11-26T00:00:00"/>
    <d v="2023-12-02T00:00:00"/>
    <n v="6"/>
    <x v="2"/>
    <x v="6"/>
    <x v="0"/>
    <s v="Q4"/>
    <x v="1"/>
    <x v="2"/>
    <x v="2"/>
    <x v="8"/>
    <n v="263.75"/>
    <x v="9"/>
    <n v="0.2"/>
    <n v="-38.590000000000003"/>
    <n v="-0.14631279620853083"/>
    <s v="loss"/>
    <s v="low"/>
    <s v="slow"/>
  </r>
  <r>
    <s v="ORD-1183"/>
    <d v="2023-01-29T00:00:00"/>
    <d v="2023-01-30T00:00:00"/>
    <n v="1"/>
    <x v="0"/>
    <x v="8"/>
    <x v="0"/>
    <s v="Q1"/>
    <x v="2"/>
    <x v="0"/>
    <x v="2"/>
    <x v="2"/>
    <n v="502.77"/>
    <x v="1"/>
    <n v="0"/>
    <n v="58.64"/>
    <n v="0.116633848479424"/>
    <s v="profit"/>
    <s v="No Discount"/>
    <s v="faster"/>
  </r>
  <r>
    <s v="ORD-1184"/>
    <d v="2023-09-13T00:00:00"/>
    <d v="2023-09-18T00:00:00"/>
    <n v="5"/>
    <x v="2"/>
    <x v="7"/>
    <x v="0"/>
    <s v="Q3"/>
    <x v="0"/>
    <x v="1"/>
    <x v="0"/>
    <x v="3"/>
    <n v="580.04"/>
    <x v="5"/>
    <n v="0.3"/>
    <n v="-127.69"/>
    <n v="-0.22013999034549342"/>
    <s v="loss"/>
    <s v="medium"/>
    <s v="slow"/>
  </r>
  <r>
    <s v="ORD-1185"/>
    <d v="2023-09-26T00:00:00"/>
    <d v="2023-10-03T00:00:00"/>
    <n v="7"/>
    <x v="2"/>
    <x v="7"/>
    <x v="0"/>
    <s v="Q3"/>
    <x v="1"/>
    <x v="2"/>
    <x v="1"/>
    <x v="1"/>
    <n v="135.18"/>
    <x v="8"/>
    <n v="0"/>
    <n v="45.61"/>
    <n v="0.3374019825417961"/>
    <s v="profit"/>
    <s v="No Discount"/>
    <s v="slow"/>
  </r>
  <r>
    <s v="ORD-1186"/>
    <d v="2023-08-26T00:00:00"/>
    <d v="2023-09-01T00:00:00"/>
    <n v="6"/>
    <x v="0"/>
    <x v="10"/>
    <x v="0"/>
    <s v="Q3"/>
    <x v="0"/>
    <x v="2"/>
    <x v="1"/>
    <x v="6"/>
    <n v="687.42"/>
    <x v="8"/>
    <n v="0.3"/>
    <n v="-90.13"/>
    <n v="-0.13111343865467981"/>
    <s v="loss"/>
    <s v="medium"/>
    <s v="slow"/>
  </r>
  <r>
    <s v="ORD-1187"/>
    <d v="2023-01-18T00:00:00"/>
    <d v="2023-01-23T00:00:00"/>
    <n v="5"/>
    <x v="0"/>
    <x v="8"/>
    <x v="0"/>
    <s v="Q1"/>
    <x v="1"/>
    <x v="3"/>
    <x v="0"/>
    <x v="0"/>
    <n v="387.37"/>
    <x v="8"/>
    <n v="0"/>
    <n v="24.54"/>
    <n v="6.3350285256989436E-2"/>
    <s v="profit"/>
    <s v="No Discount"/>
    <s v="slow"/>
  </r>
  <r>
    <s v="ORD-1188"/>
    <d v="2023-03-29T00:00:00"/>
    <d v="2023-04-01T00:00:00"/>
    <n v="3"/>
    <x v="0"/>
    <x v="3"/>
    <x v="0"/>
    <s v="Q1"/>
    <x v="2"/>
    <x v="0"/>
    <x v="1"/>
    <x v="4"/>
    <n v="537.79999999999995"/>
    <x v="3"/>
    <n v="0"/>
    <n v="101.21"/>
    <n v="0.18819263666790628"/>
    <s v="profit"/>
    <s v="No Discount"/>
    <s v="Normal"/>
  </r>
  <r>
    <s v="ORD-1189"/>
    <d v="2023-07-11T00:00:00"/>
    <d v="2023-07-16T00:00:00"/>
    <n v="5"/>
    <x v="1"/>
    <x v="5"/>
    <x v="0"/>
    <s v="Q3"/>
    <x v="2"/>
    <x v="2"/>
    <x v="1"/>
    <x v="4"/>
    <n v="31.91"/>
    <x v="4"/>
    <n v="0.3"/>
    <n v="12.54"/>
    <n v="0.39298025697273581"/>
    <s v="profit"/>
    <s v="medium"/>
    <s v="slow"/>
  </r>
  <r>
    <s v="ORD-1190"/>
    <d v="2023-05-29T00:00:00"/>
    <d v="2023-05-30T00:00:00"/>
    <n v="1"/>
    <x v="2"/>
    <x v="0"/>
    <x v="0"/>
    <s v="Q2"/>
    <x v="2"/>
    <x v="0"/>
    <x v="0"/>
    <x v="5"/>
    <n v="336.23"/>
    <x v="1"/>
    <n v="0.3"/>
    <n v="-50.31"/>
    <n v="-0.14962971775272879"/>
    <s v="loss"/>
    <s v="medium"/>
    <s v="faster"/>
  </r>
  <r>
    <s v="ORD-1191"/>
    <d v="2023-01-09T00:00:00"/>
    <d v="2023-01-15T00:00:00"/>
    <n v="6"/>
    <x v="0"/>
    <x v="8"/>
    <x v="0"/>
    <s v="Q1"/>
    <x v="2"/>
    <x v="2"/>
    <x v="1"/>
    <x v="1"/>
    <n v="993.11"/>
    <x v="1"/>
    <n v="0"/>
    <n v="97.02"/>
    <n v="9.7693105496873447E-2"/>
    <s v="profit"/>
    <s v="No Discount"/>
    <s v="slow"/>
  </r>
  <r>
    <s v="ORD-1192"/>
    <d v="2023-09-18T00:00:00"/>
    <d v="2023-09-20T00:00:00"/>
    <n v="2"/>
    <x v="2"/>
    <x v="7"/>
    <x v="0"/>
    <s v="Q3"/>
    <x v="2"/>
    <x v="3"/>
    <x v="0"/>
    <x v="0"/>
    <n v="701.5"/>
    <x v="1"/>
    <n v="0"/>
    <n v="86.77"/>
    <n v="0.12369208838203849"/>
    <s v="profit"/>
    <s v="No Discount"/>
    <s v="faster"/>
  </r>
  <r>
    <s v="ORD-1193"/>
    <d v="2023-11-03T00:00:00"/>
    <d v="2023-11-05T00:00:00"/>
    <n v="2"/>
    <x v="1"/>
    <x v="6"/>
    <x v="0"/>
    <s v="Q4"/>
    <x v="0"/>
    <x v="2"/>
    <x v="2"/>
    <x v="7"/>
    <n v="636.80999999999995"/>
    <x v="5"/>
    <n v="0.1"/>
    <n v="0.61"/>
    <n v="9.5789953047219743E-4"/>
    <s v="profit"/>
    <s v="low"/>
    <s v="faster"/>
  </r>
  <r>
    <s v="ORD-1194"/>
    <d v="2023-06-29T00:00:00"/>
    <d v="2023-07-05T00:00:00"/>
    <n v="6"/>
    <x v="0"/>
    <x v="4"/>
    <x v="0"/>
    <s v="Q2"/>
    <x v="0"/>
    <x v="2"/>
    <x v="0"/>
    <x v="3"/>
    <n v="995.91"/>
    <x v="7"/>
    <n v="0.1"/>
    <n v="20.9"/>
    <n v="2.0985832053097165E-2"/>
    <s v="profit"/>
    <s v="low"/>
    <s v="slow"/>
  </r>
  <r>
    <s v="ORD-1195"/>
    <d v="2023-08-21T00:00:00"/>
    <d v="2023-08-22T00:00:00"/>
    <n v="1"/>
    <x v="3"/>
    <x v="10"/>
    <x v="0"/>
    <s v="Q3"/>
    <x v="1"/>
    <x v="1"/>
    <x v="0"/>
    <x v="5"/>
    <n v="903.13"/>
    <x v="0"/>
    <n v="0"/>
    <n v="134.38"/>
    <n v="0.14879363989680333"/>
    <s v="profit"/>
    <s v="No Discount"/>
    <s v="faster"/>
  </r>
  <r>
    <s v="ORD-1196"/>
    <d v="2023-09-24T00:00:00"/>
    <d v="2023-09-30T00:00:00"/>
    <n v="6"/>
    <x v="2"/>
    <x v="7"/>
    <x v="0"/>
    <s v="Q3"/>
    <x v="2"/>
    <x v="0"/>
    <x v="1"/>
    <x v="6"/>
    <n v="959.53"/>
    <x v="6"/>
    <n v="0.3"/>
    <n v="-149.59"/>
    <n v="-0.15589924233739436"/>
    <s v="loss"/>
    <s v="medium"/>
    <s v="slow"/>
  </r>
  <r>
    <s v="ORD-1197"/>
    <d v="2024-01-01T00:00:00"/>
    <d v="2024-01-04T00:00:00"/>
    <n v="3"/>
    <x v="2"/>
    <x v="8"/>
    <x v="1"/>
    <s v="Q1"/>
    <x v="0"/>
    <x v="3"/>
    <x v="0"/>
    <x v="0"/>
    <n v="466.54"/>
    <x v="3"/>
    <n v="0.3"/>
    <n v="-89.81"/>
    <n v="-0.19250225061088008"/>
    <s v="loss"/>
    <s v="medium"/>
    <s v="Normal"/>
  </r>
  <r>
    <s v="ORD-1198"/>
    <d v="2023-07-14T00:00:00"/>
    <d v="2023-07-20T00:00:00"/>
    <n v="6"/>
    <x v="0"/>
    <x v="5"/>
    <x v="0"/>
    <s v="Q3"/>
    <x v="2"/>
    <x v="0"/>
    <x v="1"/>
    <x v="4"/>
    <n v="186.29"/>
    <x v="9"/>
    <n v="0.3"/>
    <n v="-24.8"/>
    <n v="-0.13312577164635783"/>
    <s v="loss"/>
    <s v="medium"/>
    <s v="slow"/>
  </r>
  <r>
    <s v="ORD-1199"/>
    <d v="2023-10-13T00:00:00"/>
    <d v="2023-10-20T00:00:00"/>
    <n v="7"/>
    <x v="0"/>
    <x v="2"/>
    <x v="0"/>
    <s v="Q4"/>
    <x v="1"/>
    <x v="2"/>
    <x v="0"/>
    <x v="5"/>
    <n v="366.29"/>
    <x v="8"/>
    <n v="0.1"/>
    <n v="-1.38"/>
    <n v="-3.7675066204373581E-3"/>
    <s v="loss"/>
    <s v="low"/>
    <s v="slow"/>
  </r>
  <r>
    <s v="ORD-1200"/>
    <d v="2023-12-10T00:00:00"/>
    <d v="2023-12-17T00:00:00"/>
    <n v="7"/>
    <x v="2"/>
    <x v="9"/>
    <x v="0"/>
    <s v="Q4"/>
    <x v="0"/>
    <x v="1"/>
    <x v="2"/>
    <x v="8"/>
    <n v="373.14"/>
    <x v="9"/>
    <n v="0.3"/>
    <n v="-25.59"/>
    <n v="-6.8580157581604767E-2"/>
    <s v="loss"/>
    <s v="medium"/>
    <s v="slow"/>
  </r>
  <r>
    <s v="ORD-1201"/>
    <d v="2023-07-20T00:00:00"/>
    <d v="2023-07-25T00:00:00"/>
    <n v="5"/>
    <x v="0"/>
    <x v="5"/>
    <x v="0"/>
    <s v="Q3"/>
    <x v="2"/>
    <x v="2"/>
    <x v="2"/>
    <x v="7"/>
    <n v="704.2"/>
    <x v="2"/>
    <n v="0"/>
    <n v="70"/>
    <n v="9.940357852882703E-2"/>
    <s v="profit"/>
    <s v="No Discount"/>
    <s v="slow"/>
  </r>
  <r>
    <s v="ORD-1202"/>
    <d v="2023-04-27T00:00:00"/>
    <d v="2023-04-28T00:00:00"/>
    <n v="1"/>
    <x v="1"/>
    <x v="11"/>
    <x v="0"/>
    <s v="Q2"/>
    <x v="0"/>
    <x v="2"/>
    <x v="0"/>
    <x v="3"/>
    <n v="422.98"/>
    <x v="4"/>
    <n v="0"/>
    <n v="70.23"/>
    <n v="0.16603621920658188"/>
    <s v="profit"/>
    <s v="No Discount"/>
    <s v="faster"/>
  </r>
  <r>
    <s v="ORD-1203"/>
    <d v="2023-08-12T00:00:00"/>
    <d v="2023-08-13T00:00:00"/>
    <n v="1"/>
    <x v="0"/>
    <x v="10"/>
    <x v="0"/>
    <s v="Q3"/>
    <x v="0"/>
    <x v="0"/>
    <x v="1"/>
    <x v="6"/>
    <n v="179.36"/>
    <x v="5"/>
    <n v="0.1"/>
    <n v="-14.67"/>
    <n v="-8.17908117752007E-2"/>
    <s v="loss"/>
    <s v="low"/>
    <s v="faster"/>
  </r>
  <r>
    <s v="ORD-1204"/>
    <d v="2023-03-03T00:00:00"/>
    <d v="2023-03-06T00:00:00"/>
    <n v="3"/>
    <x v="2"/>
    <x v="3"/>
    <x v="0"/>
    <s v="Q1"/>
    <x v="0"/>
    <x v="1"/>
    <x v="2"/>
    <x v="7"/>
    <n v="941.72"/>
    <x v="3"/>
    <n v="0.2"/>
    <n v="-63.37"/>
    <n v="-6.7291764006286364E-2"/>
    <s v="loss"/>
    <s v="low"/>
    <s v="Normal"/>
  </r>
  <r>
    <s v="ORD-1205"/>
    <d v="2023-05-20T00:00:00"/>
    <d v="2023-05-24T00:00:00"/>
    <n v="4"/>
    <x v="2"/>
    <x v="0"/>
    <x v="0"/>
    <s v="Q2"/>
    <x v="1"/>
    <x v="3"/>
    <x v="1"/>
    <x v="6"/>
    <n v="621.15"/>
    <x v="0"/>
    <n v="0.1"/>
    <n v="-14.21"/>
    <n v="-2.2876921838525317E-2"/>
    <s v="loss"/>
    <s v="low"/>
    <s v="Normal"/>
  </r>
  <r>
    <s v="ORD-1206"/>
    <d v="2023-11-18T00:00:00"/>
    <d v="2023-11-24T00:00:00"/>
    <n v="6"/>
    <x v="1"/>
    <x v="6"/>
    <x v="0"/>
    <s v="Q4"/>
    <x v="2"/>
    <x v="1"/>
    <x v="2"/>
    <x v="2"/>
    <n v="879.13"/>
    <x v="8"/>
    <n v="0.2"/>
    <n v="-104.75"/>
    <n v="-0.11915188879915371"/>
    <s v="loss"/>
    <s v="low"/>
    <s v="slow"/>
  </r>
  <r>
    <s v="ORD-1207"/>
    <d v="2023-10-23T00:00:00"/>
    <d v="2023-10-25T00:00:00"/>
    <n v="2"/>
    <x v="3"/>
    <x v="2"/>
    <x v="0"/>
    <s v="Q4"/>
    <x v="0"/>
    <x v="3"/>
    <x v="1"/>
    <x v="4"/>
    <n v="45.84"/>
    <x v="6"/>
    <n v="0"/>
    <n v="39.020000000000003"/>
    <n v="0.85122164048865623"/>
    <s v="profit"/>
    <s v="No Discount"/>
    <s v="faster"/>
  </r>
  <r>
    <s v="ORD-1208"/>
    <d v="2023-12-27T00:00:00"/>
    <d v="2023-12-28T00:00:00"/>
    <n v="1"/>
    <x v="0"/>
    <x v="9"/>
    <x v="0"/>
    <s v="Q4"/>
    <x v="2"/>
    <x v="0"/>
    <x v="0"/>
    <x v="3"/>
    <n v="490.76"/>
    <x v="4"/>
    <n v="0.2"/>
    <n v="-58.55"/>
    <n v="-0.11930475181351373"/>
    <s v="loss"/>
    <s v="low"/>
    <s v="faster"/>
  </r>
  <r>
    <s v="ORD-1209"/>
    <d v="2023-02-22T00:00:00"/>
    <d v="2023-03-01T00:00:00"/>
    <n v="7"/>
    <x v="2"/>
    <x v="1"/>
    <x v="0"/>
    <s v="Q1"/>
    <x v="2"/>
    <x v="2"/>
    <x v="1"/>
    <x v="1"/>
    <n v="602.25"/>
    <x v="8"/>
    <n v="0.2"/>
    <n v="-52.72"/>
    <n v="-8.7538397675383975E-2"/>
    <s v="loss"/>
    <s v="low"/>
    <s v="slow"/>
  </r>
  <r>
    <s v="ORD-1210"/>
    <d v="2023-05-08T00:00:00"/>
    <d v="2023-05-09T00:00:00"/>
    <n v="1"/>
    <x v="0"/>
    <x v="0"/>
    <x v="0"/>
    <s v="Q2"/>
    <x v="2"/>
    <x v="1"/>
    <x v="2"/>
    <x v="8"/>
    <n v="832.58"/>
    <x v="8"/>
    <n v="0"/>
    <n v="121.94"/>
    <n v="0.14646040020178241"/>
    <s v="profit"/>
    <s v="No Discount"/>
    <s v="faster"/>
  </r>
  <r>
    <s v="ORD-1211"/>
    <d v="2023-05-19T00:00:00"/>
    <d v="2023-05-25T00:00:00"/>
    <n v="6"/>
    <x v="2"/>
    <x v="0"/>
    <x v="0"/>
    <s v="Q2"/>
    <x v="2"/>
    <x v="3"/>
    <x v="1"/>
    <x v="4"/>
    <n v="479.32"/>
    <x v="3"/>
    <n v="0.2"/>
    <n v="-58.56"/>
    <n v="-0.12217307852791455"/>
    <s v="loss"/>
    <s v="low"/>
    <s v="slow"/>
  </r>
  <r>
    <s v="ORD-1212"/>
    <d v="2023-11-01T00:00:00"/>
    <d v="2023-11-02T00:00:00"/>
    <n v="1"/>
    <x v="0"/>
    <x v="6"/>
    <x v="0"/>
    <s v="Q4"/>
    <x v="1"/>
    <x v="1"/>
    <x v="2"/>
    <x v="8"/>
    <n v="33.4"/>
    <x v="7"/>
    <n v="0.2"/>
    <n v="37.19"/>
    <n v="1.1134730538922155"/>
    <s v="profit"/>
    <s v="low"/>
    <s v="faster"/>
  </r>
  <r>
    <s v="ORD-1213"/>
    <d v="2023-10-11T00:00:00"/>
    <d v="2023-10-18T00:00:00"/>
    <n v="7"/>
    <x v="2"/>
    <x v="2"/>
    <x v="0"/>
    <s v="Q4"/>
    <x v="0"/>
    <x v="1"/>
    <x v="2"/>
    <x v="2"/>
    <n v="816.64"/>
    <x v="4"/>
    <n v="0.2"/>
    <n v="-49.17"/>
    <n v="-6.0210129310344827E-2"/>
    <s v="loss"/>
    <s v="low"/>
    <s v="slow"/>
  </r>
  <r>
    <s v="ORD-1214"/>
    <d v="2023-06-09T00:00:00"/>
    <d v="2023-06-16T00:00:00"/>
    <n v="7"/>
    <x v="0"/>
    <x v="4"/>
    <x v="0"/>
    <s v="Q2"/>
    <x v="2"/>
    <x v="0"/>
    <x v="2"/>
    <x v="7"/>
    <n v="914.9"/>
    <x v="8"/>
    <n v="0.2"/>
    <n v="-57.66"/>
    <n v="-6.3023281232921627E-2"/>
    <s v="loss"/>
    <s v="low"/>
    <s v="slow"/>
  </r>
  <r>
    <s v="ORD-1215"/>
    <d v="2023-02-17T00:00:00"/>
    <d v="2023-02-24T00:00:00"/>
    <n v="7"/>
    <x v="2"/>
    <x v="1"/>
    <x v="0"/>
    <s v="Q1"/>
    <x v="1"/>
    <x v="3"/>
    <x v="1"/>
    <x v="4"/>
    <n v="945.87"/>
    <x v="2"/>
    <n v="0.1"/>
    <n v="6.45"/>
    <n v="6.8191189064036282E-3"/>
    <s v="profit"/>
    <s v="low"/>
    <s v="slow"/>
  </r>
  <r>
    <s v="ORD-1216"/>
    <d v="2023-01-18T00:00:00"/>
    <d v="2023-01-22T00:00:00"/>
    <n v="4"/>
    <x v="3"/>
    <x v="8"/>
    <x v="0"/>
    <s v="Q1"/>
    <x v="2"/>
    <x v="2"/>
    <x v="2"/>
    <x v="2"/>
    <n v="256.26"/>
    <x v="5"/>
    <n v="0"/>
    <n v="14.67"/>
    <n v="5.7246546476235075E-2"/>
    <s v="profit"/>
    <s v="No Discount"/>
    <s v="Normal"/>
  </r>
  <r>
    <s v="ORD-1217"/>
    <d v="2023-09-03T00:00:00"/>
    <d v="2023-09-04T00:00:00"/>
    <n v="1"/>
    <x v="1"/>
    <x v="7"/>
    <x v="0"/>
    <s v="Q3"/>
    <x v="1"/>
    <x v="3"/>
    <x v="1"/>
    <x v="6"/>
    <n v="954.97"/>
    <x v="1"/>
    <n v="0"/>
    <n v="90"/>
    <n v="9.4243798234499507E-2"/>
    <s v="profit"/>
    <s v="No Discount"/>
    <s v="faster"/>
  </r>
  <r>
    <s v="ORD-1218"/>
    <d v="2023-02-05T00:00:00"/>
    <d v="2023-02-08T00:00:00"/>
    <n v="3"/>
    <x v="2"/>
    <x v="1"/>
    <x v="0"/>
    <s v="Q1"/>
    <x v="2"/>
    <x v="0"/>
    <x v="2"/>
    <x v="8"/>
    <n v="880.66"/>
    <x v="9"/>
    <n v="0.3"/>
    <n v="-152.86000000000001"/>
    <n v="-0.17357436468103471"/>
    <s v="loss"/>
    <s v="medium"/>
    <s v="Normal"/>
  </r>
  <r>
    <s v="ORD-1219"/>
    <d v="2023-03-16T00:00:00"/>
    <d v="2023-03-22T00:00:00"/>
    <n v="6"/>
    <x v="3"/>
    <x v="3"/>
    <x v="0"/>
    <s v="Q1"/>
    <x v="2"/>
    <x v="2"/>
    <x v="0"/>
    <x v="5"/>
    <n v="371"/>
    <x v="3"/>
    <n v="0.3"/>
    <n v="-92.65"/>
    <n v="-0.24973045822102427"/>
    <s v="loss"/>
    <s v="medium"/>
    <s v="slow"/>
  </r>
  <r>
    <s v="ORD-1220"/>
    <d v="2023-03-17T00:00:00"/>
    <d v="2023-03-24T00:00:00"/>
    <n v="7"/>
    <x v="1"/>
    <x v="3"/>
    <x v="0"/>
    <s v="Q1"/>
    <x v="0"/>
    <x v="2"/>
    <x v="1"/>
    <x v="4"/>
    <n v="508.2"/>
    <x v="5"/>
    <n v="0.1"/>
    <n v="34.06"/>
    <n v="6.7020857929948843E-2"/>
    <s v="profit"/>
    <s v="low"/>
    <s v="slow"/>
  </r>
  <r>
    <s v="ORD-1221"/>
    <d v="2023-02-21T00:00:00"/>
    <d v="2023-02-22T00:00:00"/>
    <n v="1"/>
    <x v="1"/>
    <x v="1"/>
    <x v="0"/>
    <s v="Q1"/>
    <x v="0"/>
    <x v="0"/>
    <x v="1"/>
    <x v="4"/>
    <n v="529.76"/>
    <x v="4"/>
    <n v="0.3"/>
    <n v="-68.8"/>
    <n v="-0.12987012987012986"/>
    <s v="loss"/>
    <s v="medium"/>
    <s v="faster"/>
  </r>
  <r>
    <s v="ORD-1222"/>
    <d v="2023-12-28T00:00:00"/>
    <d v="2023-12-31T00:00:00"/>
    <n v="3"/>
    <x v="2"/>
    <x v="9"/>
    <x v="0"/>
    <s v="Q4"/>
    <x v="2"/>
    <x v="3"/>
    <x v="2"/>
    <x v="2"/>
    <n v="968.61"/>
    <x v="6"/>
    <n v="0.1"/>
    <n v="41.37"/>
    <n v="4.2710688512404373E-2"/>
    <s v="profit"/>
    <s v="low"/>
    <s v="Normal"/>
  </r>
  <r>
    <s v="ORD-1223"/>
    <d v="2023-03-04T00:00:00"/>
    <d v="2023-03-06T00:00:00"/>
    <n v="2"/>
    <x v="2"/>
    <x v="3"/>
    <x v="0"/>
    <s v="Q1"/>
    <x v="1"/>
    <x v="1"/>
    <x v="0"/>
    <x v="0"/>
    <n v="415.41"/>
    <x v="6"/>
    <n v="0.3"/>
    <n v="-69.48"/>
    <n v="-0.16725644543944537"/>
    <s v="loss"/>
    <s v="medium"/>
    <s v="faster"/>
  </r>
  <r>
    <s v="ORD-1224"/>
    <d v="2023-05-09T00:00:00"/>
    <d v="2023-05-13T00:00:00"/>
    <n v="4"/>
    <x v="2"/>
    <x v="0"/>
    <x v="0"/>
    <s v="Q2"/>
    <x v="1"/>
    <x v="1"/>
    <x v="2"/>
    <x v="7"/>
    <n v="432.13"/>
    <x v="0"/>
    <n v="0"/>
    <n v="66.63"/>
    <n v="0.15418971142943094"/>
    <s v="profit"/>
    <s v="No Discount"/>
    <s v="Normal"/>
  </r>
  <r>
    <s v="ORD-1225"/>
    <d v="2023-05-13T00:00:00"/>
    <d v="2023-05-14T00:00:00"/>
    <n v="1"/>
    <x v="2"/>
    <x v="0"/>
    <x v="0"/>
    <s v="Q2"/>
    <x v="0"/>
    <x v="0"/>
    <x v="0"/>
    <x v="3"/>
    <n v="710"/>
    <x v="3"/>
    <n v="0.2"/>
    <n v="-27.78"/>
    <n v="-3.9126760563380283E-2"/>
    <s v="loss"/>
    <s v="low"/>
    <s v="faster"/>
  </r>
  <r>
    <s v="ORD-1226"/>
    <d v="2023-11-05T00:00:00"/>
    <d v="2023-11-06T00:00:00"/>
    <n v="1"/>
    <x v="0"/>
    <x v="6"/>
    <x v="0"/>
    <s v="Q4"/>
    <x v="0"/>
    <x v="0"/>
    <x v="2"/>
    <x v="8"/>
    <n v="624.91999999999996"/>
    <x v="7"/>
    <n v="0.1"/>
    <n v="4.54"/>
    <n v="7.2649299110286126E-3"/>
    <s v="profit"/>
    <s v="low"/>
    <s v="faster"/>
  </r>
  <r>
    <s v="ORD-1227"/>
    <d v="2023-02-25T00:00:00"/>
    <d v="2023-03-02T00:00:00"/>
    <n v="5"/>
    <x v="2"/>
    <x v="1"/>
    <x v="0"/>
    <s v="Q1"/>
    <x v="1"/>
    <x v="0"/>
    <x v="0"/>
    <x v="5"/>
    <n v="598.12"/>
    <x v="4"/>
    <n v="0.1"/>
    <n v="18.84"/>
    <n v="3.1498695913863436E-2"/>
    <s v="profit"/>
    <s v="low"/>
    <s v="slow"/>
  </r>
  <r>
    <s v="ORD-1228"/>
    <d v="2023-08-27T00:00:00"/>
    <d v="2023-09-02T00:00:00"/>
    <n v="6"/>
    <x v="1"/>
    <x v="10"/>
    <x v="0"/>
    <s v="Q3"/>
    <x v="0"/>
    <x v="0"/>
    <x v="0"/>
    <x v="3"/>
    <n v="109.18"/>
    <x v="0"/>
    <n v="0.1"/>
    <n v="4.38"/>
    <n v="4.0117237589302066E-2"/>
    <s v="profit"/>
    <s v="low"/>
    <s v="slow"/>
  </r>
  <r>
    <s v="ORD-1229"/>
    <d v="2023-01-26T00:00:00"/>
    <d v="2023-01-30T00:00:00"/>
    <n v="4"/>
    <x v="0"/>
    <x v="8"/>
    <x v="0"/>
    <s v="Q1"/>
    <x v="0"/>
    <x v="1"/>
    <x v="2"/>
    <x v="7"/>
    <n v="523.71"/>
    <x v="4"/>
    <n v="0.3"/>
    <n v="-61.01"/>
    <n v="-0.11649577056004276"/>
    <s v="loss"/>
    <s v="medium"/>
    <s v="Normal"/>
  </r>
  <r>
    <s v="ORD-1230"/>
    <d v="2023-11-01T00:00:00"/>
    <d v="2023-11-02T00:00:00"/>
    <n v="1"/>
    <x v="0"/>
    <x v="6"/>
    <x v="0"/>
    <s v="Q4"/>
    <x v="2"/>
    <x v="3"/>
    <x v="0"/>
    <x v="0"/>
    <n v="312"/>
    <x v="2"/>
    <n v="0.1"/>
    <n v="40.369999999999997"/>
    <n v="0.12939102564102564"/>
    <s v="profit"/>
    <s v="low"/>
    <s v="faster"/>
  </r>
  <r>
    <s v="ORD-1231"/>
    <d v="2023-02-15T00:00:00"/>
    <d v="2023-02-17T00:00:00"/>
    <n v="2"/>
    <x v="0"/>
    <x v="1"/>
    <x v="0"/>
    <s v="Q1"/>
    <x v="0"/>
    <x v="2"/>
    <x v="1"/>
    <x v="6"/>
    <n v="950.53"/>
    <x v="1"/>
    <n v="0.3"/>
    <n v="-177.95"/>
    <n v="-0.18721134524949237"/>
    <s v="loss"/>
    <s v="medium"/>
    <s v="faster"/>
  </r>
  <r>
    <s v="ORD-1232"/>
    <d v="2023-01-16T00:00:00"/>
    <d v="2023-01-21T00:00:00"/>
    <n v="5"/>
    <x v="0"/>
    <x v="8"/>
    <x v="0"/>
    <s v="Q1"/>
    <x v="1"/>
    <x v="1"/>
    <x v="0"/>
    <x v="0"/>
    <n v="845.25"/>
    <x v="8"/>
    <n v="0"/>
    <n v="82.6"/>
    <n v="9.7722567287784667E-2"/>
    <s v="profit"/>
    <s v="No Discount"/>
    <s v="slow"/>
  </r>
  <r>
    <s v="ORD-1233"/>
    <d v="2023-08-23T00:00:00"/>
    <d v="2023-08-27T00:00:00"/>
    <n v="4"/>
    <x v="0"/>
    <x v="10"/>
    <x v="0"/>
    <s v="Q3"/>
    <x v="1"/>
    <x v="2"/>
    <x v="1"/>
    <x v="1"/>
    <n v="469.95"/>
    <x v="4"/>
    <n v="0.1"/>
    <n v="23.46"/>
    <n v="4.9920204277050753E-2"/>
    <s v="profit"/>
    <s v="low"/>
    <s v="Normal"/>
  </r>
  <r>
    <s v="ORD-1234"/>
    <d v="2023-02-05T00:00:00"/>
    <d v="2023-02-11T00:00:00"/>
    <n v="6"/>
    <x v="3"/>
    <x v="1"/>
    <x v="0"/>
    <s v="Q1"/>
    <x v="1"/>
    <x v="2"/>
    <x v="0"/>
    <x v="3"/>
    <n v="360.47"/>
    <x v="9"/>
    <n v="0.1"/>
    <n v="24.34"/>
    <n v="6.7522956140594212E-2"/>
    <s v="profit"/>
    <s v="low"/>
    <s v="slow"/>
  </r>
  <r>
    <s v="ORD-1235"/>
    <d v="2023-09-13T00:00:00"/>
    <d v="2023-09-16T00:00:00"/>
    <n v="3"/>
    <x v="1"/>
    <x v="7"/>
    <x v="0"/>
    <s v="Q3"/>
    <x v="1"/>
    <x v="1"/>
    <x v="2"/>
    <x v="8"/>
    <n v="255.34"/>
    <x v="7"/>
    <n v="0.2"/>
    <n v="-7.93"/>
    <n v="-3.1056630375186026E-2"/>
    <s v="loss"/>
    <s v="low"/>
    <s v="Normal"/>
  </r>
  <r>
    <s v="ORD-1236"/>
    <d v="2023-01-25T00:00:00"/>
    <d v="2023-01-26T00:00:00"/>
    <n v="1"/>
    <x v="3"/>
    <x v="8"/>
    <x v="0"/>
    <s v="Q1"/>
    <x v="1"/>
    <x v="1"/>
    <x v="2"/>
    <x v="2"/>
    <n v="470.92"/>
    <x v="9"/>
    <n v="0.3"/>
    <n v="-103.55"/>
    <n v="-0.21988872844644525"/>
    <s v="loss"/>
    <s v="medium"/>
    <s v="faster"/>
  </r>
  <r>
    <s v="ORD-1237"/>
    <d v="2023-02-22T00:00:00"/>
    <d v="2023-02-24T00:00:00"/>
    <n v="2"/>
    <x v="0"/>
    <x v="1"/>
    <x v="0"/>
    <s v="Q1"/>
    <x v="2"/>
    <x v="1"/>
    <x v="1"/>
    <x v="4"/>
    <n v="156.05000000000001"/>
    <x v="4"/>
    <n v="0.3"/>
    <n v="-38.61"/>
    <n v="-0.24742069849407239"/>
    <s v="loss"/>
    <s v="medium"/>
    <s v="faster"/>
  </r>
  <r>
    <s v="ORD-1238"/>
    <d v="2023-05-16T00:00:00"/>
    <d v="2023-05-20T00:00:00"/>
    <n v="4"/>
    <x v="3"/>
    <x v="0"/>
    <x v="0"/>
    <s v="Q2"/>
    <x v="0"/>
    <x v="3"/>
    <x v="2"/>
    <x v="2"/>
    <n v="702.57"/>
    <x v="4"/>
    <n v="0"/>
    <n v="113.03"/>
    <n v="0.16088076632933374"/>
    <s v="profit"/>
    <s v="No Discount"/>
    <s v="Normal"/>
  </r>
  <r>
    <s v="ORD-1239"/>
    <d v="2023-12-26T00:00:00"/>
    <d v="2023-12-31T00:00:00"/>
    <n v="5"/>
    <x v="0"/>
    <x v="9"/>
    <x v="0"/>
    <s v="Q4"/>
    <x v="2"/>
    <x v="0"/>
    <x v="1"/>
    <x v="1"/>
    <n v="484.48"/>
    <x v="2"/>
    <n v="0"/>
    <n v="96.57"/>
    <n v="0.19932711360634081"/>
    <s v="profit"/>
    <s v="No Discount"/>
    <s v="slow"/>
  </r>
  <r>
    <s v="ORD-1240"/>
    <d v="2023-05-04T00:00:00"/>
    <d v="2023-05-11T00:00:00"/>
    <n v="7"/>
    <x v="3"/>
    <x v="0"/>
    <x v="0"/>
    <s v="Q2"/>
    <x v="0"/>
    <x v="2"/>
    <x v="0"/>
    <x v="5"/>
    <n v="609.9"/>
    <x v="3"/>
    <n v="0.2"/>
    <n v="-78.13"/>
    <n v="-0.1281029676996229"/>
    <s v="loss"/>
    <s v="low"/>
    <s v="slow"/>
  </r>
  <r>
    <s v="ORD-1241"/>
    <d v="2023-11-06T00:00:00"/>
    <d v="2023-11-12T00:00:00"/>
    <n v="6"/>
    <x v="0"/>
    <x v="6"/>
    <x v="0"/>
    <s v="Q4"/>
    <x v="0"/>
    <x v="0"/>
    <x v="2"/>
    <x v="2"/>
    <n v="185.56"/>
    <x v="2"/>
    <n v="0.3"/>
    <n v="-32.78"/>
    <n v="-0.17665445139038585"/>
    <s v="loss"/>
    <s v="medium"/>
    <s v="slow"/>
  </r>
  <r>
    <s v="ORD-1242"/>
    <d v="2023-03-06T00:00:00"/>
    <d v="2023-03-07T00:00:00"/>
    <n v="1"/>
    <x v="0"/>
    <x v="3"/>
    <x v="0"/>
    <s v="Q1"/>
    <x v="0"/>
    <x v="1"/>
    <x v="0"/>
    <x v="3"/>
    <n v="51.17"/>
    <x v="4"/>
    <n v="0.1"/>
    <n v="-11.56"/>
    <n v="-0.22591362126245848"/>
    <s v="loss"/>
    <s v="low"/>
    <s v="faster"/>
  </r>
  <r>
    <s v="ORD-1243"/>
    <d v="2023-11-07T00:00:00"/>
    <d v="2023-11-10T00:00:00"/>
    <n v="3"/>
    <x v="0"/>
    <x v="6"/>
    <x v="0"/>
    <s v="Q4"/>
    <x v="0"/>
    <x v="0"/>
    <x v="0"/>
    <x v="3"/>
    <n v="471.56"/>
    <x v="0"/>
    <n v="0.1"/>
    <n v="42.6"/>
    <n v="9.033845109848164E-2"/>
    <s v="profit"/>
    <s v="low"/>
    <s v="Normal"/>
  </r>
  <r>
    <s v="ORD-1244"/>
    <d v="2023-10-15T00:00:00"/>
    <d v="2023-10-22T00:00:00"/>
    <n v="7"/>
    <x v="1"/>
    <x v="2"/>
    <x v="0"/>
    <s v="Q4"/>
    <x v="1"/>
    <x v="3"/>
    <x v="0"/>
    <x v="3"/>
    <n v="146.16999999999999"/>
    <x v="0"/>
    <n v="0.1"/>
    <n v="28.33"/>
    <n v="0.19381542040090308"/>
    <s v="profit"/>
    <s v="low"/>
    <s v="slow"/>
  </r>
  <r>
    <s v="ORD-1245"/>
    <d v="2023-12-18T00:00:00"/>
    <d v="2023-12-19T00:00:00"/>
    <n v="1"/>
    <x v="2"/>
    <x v="9"/>
    <x v="0"/>
    <s v="Q4"/>
    <x v="1"/>
    <x v="0"/>
    <x v="1"/>
    <x v="6"/>
    <n v="58.53"/>
    <x v="3"/>
    <n v="0"/>
    <n v="19.53"/>
    <n v="0.33367503844182472"/>
    <s v="profit"/>
    <s v="No Discount"/>
    <s v="faster"/>
  </r>
  <r>
    <s v="ORD-1246"/>
    <d v="2023-11-17T00:00:00"/>
    <d v="2023-11-20T00:00:00"/>
    <n v="3"/>
    <x v="0"/>
    <x v="6"/>
    <x v="0"/>
    <s v="Q4"/>
    <x v="2"/>
    <x v="3"/>
    <x v="1"/>
    <x v="4"/>
    <n v="694.03"/>
    <x v="6"/>
    <n v="0.3"/>
    <n v="-97.66"/>
    <n v="-0.1407143783409939"/>
    <s v="loss"/>
    <s v="medium"/>
    <s v="Normal"/>
  </r>
  <r>
    <s v="ORD-1247"/>
    <d v="2023-08-14T00:00:00"/>
    <d v="2023-08-15T00:00:00"/>
    <n v="1"/>
    <x v="3"/>
    <x v="10"/>
    <x v="0"/>
    <s v="Q3"/>
    <x v="2"/>
    <x v="3"/>
    <x v="0"/>
    <x v="3"/>
    <n v="922.45"/>
    <x v="1"/>
    <n v="0"/>
    <n v="72.430000000000007"/>
    <n v="7.8519160930131712E-2"/>
    <s v="profit"/>
    <s v="No Discount"/>
    <s v="faster"/>
  </r>
  <r>
    <s v="ORD-1248"/>
    <d v="2023-05-07T00:00:00"/>
    <d v="2023-05-13T00:00:00"/>
    <n v="6"/>
    <x v="0"/>
    <x v="0"/>
    <x v="0"/>
    <s v="Q2"/>
    <x v="2"/>
    <x v="3"/>
    <x v="1"/>
    <x v="1"/>
    <n v="870.94"/>
    <x v="0"/>
    <n v="0.3"/>
    <n v="-141.81"/>
    <n v="-0.16282407513720806"/>
    <s v="loss"/>
    <s v="medium"/>
    <s v="slow"/>
  </r>
  <r>
    <s v="ORD-1249"/>
    <d v="2023-07-24T00:00:00"/>
    <d v="2023-07-30T00:00:00"/>
    <n v="6"/>
    <x v="0"/>
    <x v="5"/>
    <x v="0"/>
    <s v="Q3"/>
    <x v="1"/>
    <x v="2"/>
    <x v="0"/>
    <x v="3"/>
    <n v="200.83"/>
    <x v="8"/>
    <n v="0.2"/>
    <n v="-2.52"/>
    <n v="-1.2547926106657371E-2"/>
    <s v="loss"/>
    <s v="low"/>
    <s v="slow"/>
  </r>
  <r>
    <s v="ORD-1250"/>
    <d v="2023-07-30T00:00:00"/>
    <d v="2023-08-06T00:00:00"/>
    <n v="7"/>
    <x v="2"/>
    <x v="5"/>
    <x v="0"/>
    <s v="Q3"/>
    <x v="2"/>
    <x v="3"/>
    <x v="2"/>
    <x v="2"/>
    <n v="925.56"/>
    <x v="1"/>
    <n v="0.1"/>
    <n v="23.28"/>
    <n v="2.5152340204848959E-2"/>
    <s v="profit"/>
    <s v="low"/>
    <s v="slow"/>
  </r>
  <r>
    <s v="ORD-1251"/>
    <d v="2023-10-01T00:00:00"/>
    <d v="2023-10-03T00:00:00"/>
    <n v="2"/>
    <x v="3"/>
    <x v="2"/>
    <x v="0"/>
    <s v="Q4"/>
    <x v="2"/>
    <x v="1"/>
    <x v="0"/>
    <x v="5"/>
    <n v="381.54"/>
    <x v="9"/>
    <n v="0.3"/>
    <n v="-45.87"/>
    <n v="-0.12022330555118728"/>
    <s v="loss"/>
    <s v="medium"/>
    <s v="faster"/>
  </r>
  <r>
    <s v="ORD-1252"/>
    <d v="2023-04-27T00:00:00"/>
    <d v="2023-04-28T00:00:00"/>
    <n v="1"/>
    <x v="3"/>
    <x v="11"/>
    <x v="0"/>
    <s v="Q2"/>
    <x v="2"/>
    <x v="3"/>
    <x v="1"/>
    <x v="1"/>
    <n v="81.09"/>
    <x v="5"/>
    <n v="0.2"/>
    <n v="-10.44"/>
    <n v="-0.12874583795782463"/>
    <s v="loss"/>
    <s v="low"/>
    <s v="faster"/>
  </r>
  <r>
    <s v="ORD-1253"/>
    <d v="2023-11-11T00:00:00"/>
    <d v="2023-11-15T00:00:00"/>
    <n v="4"/>
    <x v="0"/>
    <x v="6"/>
    <x v="0"/>
    <s v="Q4"/>
    <x v="2"/>
    <x v="3"/>
    <x v="0"/>
    <x v="0"/>
    <n v="719.08"/>
    <x v="2"/>
    <n v="0.2"/>
    <n v="-32.799999999999997"/>
    <n v="-4.561383990654725E-2"/>
    <s v="loss"/>
    <s v="low"/>
    <s v="Normal"/>
  </r>
  <r>
    <s v="ORD-1254"/>
    <d v="2023-11-08T00:00:00"/>
    <d v="2023-11-14T00:00:00"/>
    <n v="6"/>
    <x v="3"/>
    <x v="6"/>
    <x v="0"/>
    <s v="Q4"/>
    <x v="2"/>
    <x v="3"/>
    <x v="0"/>
    <x v="0"/>
    <n v="754.62"/>
    <x v="5"/>
    <n v="0.3"/>
    <n v="-163.41999999999999"/>
    <n v="-0.21655932787363175"/>
    <s v="loss"/>
    <s v="medium"/>
    <s v="slow"/>
  </r>
  <r>
    <s v="ORD-1255"/>
    <d v="2023-04-21T00:00:00"/>
    <d v="2023-04-26T00:00:00"/>
    <n v="5"/>
    <x v="3"/>
    <x v="11"/>
    <x v="0"/>
    <s v="Q2"/>
    <x v="1"/>
    <x v="0"/>
    <x v="2"/>
    <x v="8"/>
    <n v="458.46"/>
    <x v="3"/>
    <n v="0.2"/>
    <n v="-38.04"/>
    <n v="-8.2973432796754357E-2"/>
    <s v="loss"/>
    <s v="low"/>
    <s v="slow"/>
  </r>
  <r>
    <s v="ORD-1256"/>
    <d v="2023-11-05T00:00:00"/>
    <d v="2023-11-07T00:00:00"/>
    <n v="2"/>
    <x v="2"/>
    <x v="6"/>
    <x v="0"/>
    <s v="Q4"/>
    <x v="0"/>
    <x v="1"/>
    <x v="2"/>
    <x v="2"/>
    <n v="122.77"/>
    <x v="1"/>
    <n v="0.2"/>
    <n v="-5.87"/>
    <n v="-4.7812983627922134E-2"/>
    <s v="loss"/>
    <s v="low"/>
    <s v="faster"/>
  </r>
  <r>
    <s v="ORD-1257"/>
    <d v="2023-06-06T00:00:00"/>
    <d v="2023-06-12T00:00:00"/>
    <n v="6"/>
    <x v="0"/>
    <x v="4"/>
    <x v="0"/>
    <s v="Q2"/>
    <x v="1"/>
    <x v="0"/>
    <x v="2"/>
    <x v="2"/>
    <n v="39.67"/>
    <x v="8"/>
    <n v="0"/>
    <n v="42.82"/>
    <n v="1.0794050920090748"/>
    <s v="profit"/>
    <s v="No Discount"/>
    <s v="slow"/>
  </r>
  <r>
    <s v="ORD-1258"/>
    <d v="2023-06-30T00:00:00"/>
    <d v="2023-07-03T00:00:00"/>
    <n v="3"/>
    <x v="2"/>
    <x v="4"/>
    <x v="0"/>
    <s v="Q2"/>
    <x v="0"/>
    <x v="1"/>
    <x v="2"/>
    <x v="8"/>
    <n v="107.42"/>
    <x v="7"/>
    <n v="0.1"/>
    <n v="-11.62"/>
    <n v="-0.10817352448333643"/>
    <s v="loss"/>
    <s v="low"/>
    <s v="Normal"/>
  </r>
  <r>
    <s v="ORD-1259"/>
    <d v="2023-02-25T00:00:00"/>
    <d v="2023-02-27T00:00:00"/>
    <n v="2"/>
    <x v="0"/>
    <x v="1"/>
    <x v="0"/>
    <s v="Q1"/>
    <x v="1"/>
    <x v="3"/>
    <x v="1"/>
    <x v="1"/>
    <n v="892.72"/>
    <x v="0"/>
    <n v="0.3"/>
    <n v="-165.37"/>
    <n v="-0.18524285330226722"/>
    <s v="loss"/>
    <s v="medium"/>
    <s v="faster"/>
  </r>
  <r>
    <s v="ORD-1260"/>
    <d v="2023-10-14T00:00:00"/>
    <d v="2023-10-21T00:00:00"/>
    <n v="7"/>
    <x v="1"/>
    <x v="2"/>
    <x v="0"/>
    <s v="Q4"/>
    <x v="1"/>
    <x v="1"/>
    <x v="0"/>
    <x v="0"/>
    <n v="368"/>
    <x v="8"/>
    <n v="0"/>
    <n v="51.69"/>
    <n v="0.14046195652173912"/>
    <s v="profit"/>
    <s v="No Discount"/>
    <s v="slow"/>
  </r>
  <r>
    <s v="ORD-1261"/>
    <d v="2023-10-02T00:00:00"/>
    <d v="2023-10-07T00:00:00"/>
    <n v="5"/>
    <x v="1"/>
    <x v="2"/>
    <x v="0"/>
    <s v="Q4"/>
    <x v="0"/>
    <x v="3"/>
    <x v="0"/>
    <x v="5"/>
    <n v="105.18"/>
    <x v="0"/>
    <n v="0.2"/>
    <n v="21.06"/>
    <n v="0.20022818026240727"/>
    <s v="profit"/>
    <s v="low"/>
    <s v="slow"/>
  </r>
  <r>
    <s v="ORD-1262"/>
    <d v="2023-12-22T00:00:00"/>
    <d v="2023-12-24T00:00:00"/>
    <n v="2"/>
    <x v="0"/>
    <x v="9"/>
    <x v="0"/>
    <s v="Q4"/>
    <x v="0"/>
    <x v="0"/>
    <x v="1"/>
    <x v="1"/>
    <n v="566.59"/>
    <x v="9"/>
    <n v="0.3"/>
    <n v="-103.1"/>
    <n v="-0.18196579537231505"/>
    <s v="loss"/>
    <s v="medium"/>
    <s v="faster"/>
  </r>
  <r>
    <s v="ORD-1263"/>
    <d v="2023-02-03T00:00:00"/>
    <d v="2023-02-09T00:00:00"/>
    <n v="6"/>
    <x v="1"/>
    <x v="1"/>
    <x v="0"/>
    <s v="Q1"/>
    <x v="0"/>
    <x v="3"/>
    <x v="1"/>
    <x v="6"/>
    <n v="145.03"/>
    <x v="6"/>
    <n v="0"/>
    <n v="18.12"/>
    <n v="0.12493966765496795"/>
    <s v="profit"/>
    <s v="No Discount"/>
    <s v="slow"/>
  </r>
  <r>
    <s v="ORD-1264"/>
    <d v="2023-08-22T00:00:00"/>
    <d v="2023-08-27T00:00:00"/>
    <n v="5"/>
    <x v="3"/>
    <x v="10"/>
    <x v="0"/>
    <s v="Q3"/>
    <x v="0"/>
    <x v="0"/>
    <x v="2"/>
    <x v="8"/>
    <n v="901.65"/>
    <x v="4"/>
    <n v="0.3"/>
    <n v="-160.38"/>
    <n v="-0.17787389785393445"/>
    <s v="loss"/>
    <s v="medium"/>
    <s v="slow"/>
  </r>
  <r>
    <s v="ORD-1265"/>
    <d v="2023-06-22T00:00:00"/>
    <d v="2023-06-23T00:00:00"/>
    <n v="1"/>
    <x v="0"/>
    <x v="4"/>
    <x v="0"/>
    <s v="Q2"/>
    <x v="2"/>
    <x v="2"/>
    <x v="2"/>
    <x v="7"/>
    <n v="368.97"/>
    <x v="6"/>
    <n v="0"/>
    <n v="40.020000000000003"/>
    <n v="0.10846410277258314"/>
    <s v="profit"/>
    <s v="No Discount"/>
    <s v="faster"/>
  </r>
  <r>
    <s v="ORD-1266"/>
    <d v="2023-11-08T00:00:00"/>
    <d v="2023-11-14T00:00:00"/>
    <n v="6"/>
    <x v="1"/>
    <x v="6"/>
    <x v="0"/>
    <s v="Q4"/>
    <x v="2"/>
    <x v="1"/>
    <x v="2"/>
    <x v="7"/>
    <n v="935.02"/>
    <x v="2"/>
    <n v="0"/>
    <n v="80.63"/>
    <n v="8.6233449551881239E-2"/>
    <s v="profit"/>
    <s v="No Discount"/>
    <s v="slow"/>
  </r>
  <r>
    <s v="ORD-1267"/>
    <d v="2023-05-08T00:00:00"/>
    <d v="2023-05-10T00:00:00"/>
    <n v="2"/>
    <x v="0"/>
    <x v="0"/>
    <x v="0"/>
    <s v="Q2"/>
    <x v="0"/>
    <x v="2"/>
    <x v="0"/>
    <x v="3"/>
    <n v="169.8"/>
    <x v="3"/>
    <n v="0.2"/>
    <n v="-2.83"/>
    <n v="-1.6666666666666666E-2"/>
    <s v="loss"/>
    <s v="low"/>
    <s v="faster"/>
  </r>
  <r>
    <s v="ORD-1268"/>
    <d v="2023-07-25T00:00:00"/>
    <d v="2023-07-26T00:00:00"/>
    <n v="1"/>
    <x v="0"/>
    <x v="5"/>
    <x v="0"/>
    <s v="Q3"/>
    <x v="0"/>
    <x v="0"/>
    <x v="1"/>
    <x v="1"/>
    <n v="853.8"/>
    <x v="8"/>
    <n v="0.1"/>
    <n v="-0.04"/>
    <n v="-4.6849379245724998E-5"/>
    <s v="loss"/>
    <s v="low"/>
    <s v="faster"/>
  </r>
  <r>
    <s v="ORD-1269"/>
    <d v="2023-02-07T00:00:00"/>
    <d v="2023-02-09T00:00:00"/>
    <n v="2"/>
    <x v="1"/>
    <x v="1"/>
    <x v="0"/>
    <s v="Q1"/>
    <x v="2"/>
    <x v="0"/>
    <x v="2"/>
    <x v="7"/>
    <n v="189.91"/>
    <x v="7"/>
    <n v="0.2"/>
    <n v="19.97"/>
    <n v="0.1051550734558475"/>
    <s v="profit"/>
    <s v="low"/>
    <s v="faster"/>
  </r>
  <r>
    <s v="ORD-1270"/>
    <d v="2023-03-14T00:00:00"/>
    <d v="2023-03-16T00:00:00"/>
    <n v="2"/>
    <x v="3"/>
    <x v="3"/>
    <x v="0"/>
    <s v="Q1"/>
    <x v="0"/>
    <x v="1"/>
    <x v="0"/>
    <x v="0"/>
    <n v="70.599999999999994"/>
    <x v="9"/>
    <n v="0.2"/>
    <n v="1.67"/>
    <n v="2.3654390934844192E-2"/>
    <s v="profit"/>
    <s v="low"/>
    <s v="faster"/>
  </r>
  <r>
    <s v="ORD-1271"/>
    <d v="2023-01-22T00:00:00"/>
    <d v="2023-01-29T00:00:00"/>
    <n v="7"/>
    <x v="2"/>
    <x v="8"/>
    <x v="0"/>
    <s v="Q1"/>
    <x v="1"/>
    <x v="3"/>
    <x v="2"/>
    <x v="8"/>
    <n v="982.73"/>
    <x v="6"/>
    <n v="0.2"/>
    <n v="-55.51"/>
    <n v="-5.6485504665574469E-2"/>
    <s v="loss"/>
    <s v="low"/>
    <s v="slow"/>
  </r>
  <r>
    <s v="ORD-1272"/>
    <d v="2023-01-27T00:00:00"/>
    <d v="2023-01-30T00:00:00"/>
    <n v="3"/>
    <x v="3"/>
    <x v="8"/>
    <x v="0"/>
    <s v="Q1"/>
    <x v="2"/>
    <x v="1"/>
    <x v="2"/>
    <x v="7"/>
    <n v="584.48"/>
    <x v="6"/>
    <n v="0.2"/>
    <n v="-17.86"/>
    <n v="-3.0557076375581711E-2"/>
    <s v="loss"/>
    <s v="low"/>
    <s v="Normal"/>
  </r>
  <r>
    <s v="ORD-1273"/>
    <d v="2023-09-06T00:00:00"/>
    <d v="2023-09-11T00:00:00"/>
    <n v="5"/>
    <x v="3"/>
    <x v="7"/>
    <x v="0"/>
    <s v="Q3"/>
    <x v="1"/>
    <x v="3"/>
    <x v="1"/>
    <x v="4"/>
    <n v="820.73"/>
    <x v="9"/>
    <n v="0"/>
    <n v="96.43"/>
    <n v="0.11749296358120211"/>
    <s v="profit"/>
    <s v="No Discount"/>
    <s v="slow"/>
  </r>
  <r>
    <s v="ORD-1274"/>
    <d v="2023-08-27T00:00:00"/>
    <d v="2023-08-31T00:00:00"/>
    <n v="4"/>
    <x v="0"/>
    <x v="10"/>
    <x v="0"/>
    <s v="Q3"/>
    <x v="1"/>
    <x v="3"/>
    <x v="1"/>
    <x v="6"/>
    <n v="728.44"/>
    <x v="4"/>
    <n v="0.1"/>
    <n v="45.06"/>
    <n v="6.1858217560814888E-2"/>
    <s v="profit"/>
    <s v="low"/>
    <s v="Normal"/>
  </r>
  <r>
    <s v="ORD-1275"/>
    <d v="2023-06-19T00:00:00"/>
    <d v="2023-06-21T00:00:00"/>
    <n v="2"/>
    <x v="1"/>
    <x v="4"/>
    <x v="0"/>
    <s v="Q2"/>
    <x v="1"/>
    <x v="3"/>
    <x v="2"/>
    <x v="8"/>
    <n v="565.63"/>
    <x v="3"/>
    <n v="0.3"/>
    <n v="-99.76"/>
    <n v="-0.17636971164895782"/>
    <s v="loss"/>
    <s v="medium"/>
    <s v="faster"/>
  </r>
  <r>
    <s v="ORD-1276"/>
    <d v="2023-01-30T00:00:00"/>
    <d v="2023-02-05T00:00:00"/>
    <n v="6"/>
    <x v="0"/>
    <x v="8"/>
    <x v="0"/>
    <s v="Q1"/>
    <x v="2"/>
    <x v="1"/>
    <x v="1"/>
    <x v="1"/>
    <n v="841.81"/>
    <x v="0"/>
    <n v="0"/>
    <n v="77.27"/>
    <n v="9.1790308977085094E-2"/>
    <s v="profit"/>
    <s v="No Discount"/>
    <s v="slow"/>
  </r>
  <r>
    <s v="ORD-1277"/>
    <d v="2023-11-24T00:00:00"/>
    <d v="2023-11-25T00:00:00"/>
    <n v="1"/>
    <x v="2"/>
    <x v="6"/>
    <x v="0"/>
    <s v="Q4"/>
    <x v="1"/>
    <x v="0"/>
    <x v="1"/>
    <x v="1"/>
    <n v="337.21"/>
    <x v="4"/>
    <n v="0.2"/>
    <n v="-39.76"/>
    <n v="-0.11790872156816228"/>
    <s v="loss"/>
    <s v="low"/>
    <s v="faster"/>
  </r>
  <r>
    <s v="ORD-1278"/>
    <d v="2023-09-04T00:00:00"/>
    <d v="2023-09-08T00:00:00"/>
    <n v="4"/>
    <x v="2"/>
    <x v="7"/>
    <x v="0"/>
    <s v="Q3"/>
    <x v="1"/>
    <x v="1"/>
    <x v="2"/>
    <x v="7"/>
    <n v="741.52"/>
    <x v="3"/>
    <n v="0.3"/>
    <n v="-160.27000000000001"/>
    <n v="-0.21613712374581942"/>
    <s v="loss"/>
    <s v="medium"/>
    <s v="Normal"/>
  </r>
  <r>
    <s v="ORD-1279"/>
    <d v="2023-11-29T00:00:00"/>
    <d v="2023-12-05T00:00:00"/>
    <n v="6"/>
    <x v="2"/>
    <x v="6"/>
    <x v="0"/>
    <s v="Q4"/>
    <x v="0"/>
    <x v="0"/>
    <x v="0"/>
    <x v="5"/>
    <n v="618.41"/>
    <x v="8"/>
    <n v="0.3"/>
    <n v="-137.57"/>
    <n v="-0.22245759285910641"/>
    <s v="loss"/>
    <s v="medium"/>
    <s v="slow"/>
  </r>
  <r>
    <s v="ORD-1280"/>
    <d v="2023-11-15T00:00:00"/>
    <d v="2023-11-18T00:00:00"/>
    <n v="3"/>
    <x v="0"/>
    <x v="6"/>
    <x v="0"/>
    <s v="Q4"/>
    <x v="2"/>
    <x v="1"/>
    <x v="1"/>
    <x v="1"/>
    <n v="515.98"/>
    <x v="3"/>
    <n v="0.2"/>
    <n v="-37.92"/>
    <n v="-7.3491220589945352E-2"/>
    <s v="loss"/>
    <s v="low"/>
    <s v="Normal"/>
  </r>
  <r>
    <s v="ORD-1281"/>
    <d v="2023-11-22T00:00:00"/>
    <d v="2023-11-24T00:00:00"/>
    <n v="2"/>
    <x v="0"/>
    <x v="6"/>
    <x v="0"/>
    <s v="Q4"/>
    <x v="1"/>
    <x v="1"/>
    <x v="2"/>
    <x v="8"/>
    <n v="541.94000000000005"/>
    <x v="3"/>
    <n v="0"/>
    <n v="60.04"/>
    <n v="0.1107871720116618"/>
    <s v="profit"/>
    <s v="No Discount"/>
    <s v="faster"/>
  </r>
  <r>
    <s v="ORD-1282"/>
    <d v="2023-07-12T00:00:00"/>
    <d v="2023-07-19T00:00:00"/>
    <n v="7"/>
    <x v="0"/>
    <x v="5"/>
    <x v="0"/>
    <s v="Q3"/>
    <x v="1"/>
    <x v="1"/>
    <x v="2"/>
    <x v="2"/>
    <n v="465.18"/>
    <x v="6"/>
    <n v="0"/>
    <n v="30.95"/>
    <n v="6.6533384926265093E-2"/>
    <s v="profit"/>
    <s v="No Discount"/>
    <s v="slow"/>
  </r>
  <r>
    <s v="ORD-1283"/>
    <d v="2023-11-18T00:00:00"/>
    <d v="2023-11-24T00:00:00"/>
    <n v="6"/>
    <x v="1"/>
    <x v="6"/>
    <x v="0"/>
    <s v="Q4"/>
    <x v="0"/>
    <x v="3"/>
    <x v="1"/>
    <x v="6"/>
    <n v="990.16"/>
    <x v="3"/>
    <n v="0"/>
    <n v="126.94"/>
    <n v="0.12820150278742828"/>
    <s v="profit"/>
    <s v="No Discount"/>
    <s v="slow"/>
  </r>
  <r>
    <s v="ORD-1284"/>
    <d v="2023-03-04T00:00:00"/>
    <d v="2023-03-09T00:00:00"/>
    <n v="5"/>
    <x v="1"/>
    <x v="3"/>
    <x v="0"/>
    <s v="Q1"/>
    <x v="2"/>
    <x v="0"/>
    <x v="1"/>
    <x v="4"/>
    <n v="106.11"/>
    <x v="2"/>
    <n v="0.2"/>
    <n v="17.09"/>
    <n v="0.16105927810762416"/>
    <s v="profit"/>
    <s v="low"/>
    <s v="slow"/>
  </r>
  <r>
    <s v="ORD-1285"/>
    <d v="2023-06-08T00:00:00"/>
    <d v="2023-06-14T00:00:00"/>
    <n v="6"/>
    <x v="0"/>
    <x v="4"/>
    <x v="0"/>
    <s v="Q2"/>
    <x v="0"/>
    <x v="1"/>
    <x v="0"/>
    <x v="0"/>
    <n v="765.02"/>
    <x v="6"/>
    <n v="0.2"/>
    <n v="-63.38"/>
    <n v="-8.2847507254712294E-2"/>
    <s v="loss"/>
    <s v="low"/>
    <s v="slow"/>
  </r>
  <r>
    <s v="ORD-1286"/>
    <d v="2023-07-15T00:00:00"/>
    <d v="2023-07-20T00:00:00"/>
    <n v="5"/>
    <x v="2"/>
    <x v="5"/>
    <x v="0"/>
    <s v="Q3"/>
    <x v="2"/>
    <x v="0"/>
    <x v="1"/>
    <x v="1"/>
    <n v="613.98"/>
    <x v="4"/>
    <n v="0.2"/>
    <n v="-56.98"/>
    <n v="-9.280432587380695E-2"/>
    <s v="loss"/>
    <s v="low"/>
    <s v="slow"/>
  </r>
  <r>
    <s v="ORD-1287"/>
    <d v="2023-04-03T00:00:00"/>
    <d v="2023-04-10T00:00:00"/>
    <n v="7"/>
    <x v="1"/>
    <x v="11"/>
    <x v="0"/>
    <s v="Q2"/>
    <x v="2"/>
    <x v="0"/>
    <x v="0"/>
    <x v="0"/>
    <n v="930.94"/>
    <x v="6"/>
    <n v="0.1"/>
    <n v="32.22"/>
    <n v="3.4610178958901755E-2"/>
    <s v="profit"/>
    <s v="low"/>
    <s v="slow"/>
  </r>
  <r>
    <s v="ORD-1288"/>
    <d v="2023-05-20T00:00:00"/>
    <d v="2023-05-22T00:00:00"/>
    <n v="2"/>
    <x v="0"/>
    <x v="0"/>
    <x v="0"/>
    <s v="Q2"/>
    <x v="0"/>
    <x v="0"/>
    <x v="0"/>
    <x v="5"/>
    <n v="420.35"/>
    <x v="5"/>
    <n v="0"/>
    <n v="73.2"/>
    <n v="0.17414059712144642"/>
    <s v="profit"/>
    <s v="No Discount"/>
    <s v="faster"/>
  </r>
  <r>
    <s v="ORD-1289"/>
    <d v="2023-10-01T00:00:00"/>
    <d v="2023-10-08T00:00:00"/>
    <n v="7"/>
    <x v="1"/>
    <x v="2"/>
    <x v="0"/>
    <s v="Q4"/>
    <x v="2"/>
    <x v="3"/>
    <x v="1"/>
    <x v="6"/>
    <n v="939.57"/>
    <x v="3"/>
    <n v="0.3"/>
    <n v="-181.37"/>
    <n v="-0.19303511180646465"/>
    <s v="loss"/>
    <s v="medium"/>
    <s v="slow"/>
  </r>
  <r>
    <s v="ORD-1290"/>
    <d v="2023-12-12T00:00:00"/>
    <d v="2023-12-17T00:00:00"/>
    <n v="5"/>
    <x v="0"/>
    <x v="9"/>
    <x v="0"/>
    <s v="Q4"/>
    <x v="0"/>
    <x v="0"/>
    <x v="0"/>
    <x v="5"/>
    <n v="927.92"/>
    <x v="7"/>
    <n v="0.3"/>
    <n v="-165.37"/>
    <n v="-0.1782157944650401"/>
    <s v="loss"/>
    <s v="medium"/>
    <s v="slow"/>
  </r>
  <r>
    <s v="ORD-1291"/>
    <d v="2023-01-04T00:00:00"/>
    <d v="2023-01-08T00:00:00"/>
    <n v="4"/>
    <x v="2"/>
    <x v="8"/>
    <x v="0"/>
    <s v="Q1"/>
    <x v="0"/>
    <x v="2"/>
    <x v="2"/>
    <x v="7"/>
    <n v="844.99"/>
    <x v="4"/>
    <n v="0.3"/>
    <n v="-131.04"/>
    <n v="-0.1550787583285009"/>
    <s v="loss"/>
    <s v="medium"/>
    <s v="Normal"/>
  </r>
  <r>
    <s v="ORD-1292"/>
    <d v="2023-11-02T00:00:00"/>
    <d v="2023-11-09T00:00:00"/>
    <n v="7"/>
    <x v="3"/>
    <x v="6"/>
    <x v="0"/>
    <s v="Q4"/>
    <x v="1"/>
    <x v="0"/>
    <x v="2"/>
    <x v="8"/>
    <n v="755.49"/>
    <x v="6"/>
    <n v="0.3"/>
    <n v="-159.63999999999999"/>
    <n v="-0.21130656924644931"/>
    <s v="loss"/>
    <s v="medium"/>
    <s v="slow"/>
  </r>
  <r>
    <s v="ORD-1293"/>
    <d v="2023-01-25T00:00:00"/>
    <d v="2023-01-28T00:00:00"/>
    <n v="3"/>
    <x v="3"/>
    <x v="8"/>
    <x v="0"/>
    <s v="Q1"/>
    <x v="2"/>
    <x v="1"/>
    <x v="2"/>
    <x v="2"/>
    <n v="180.98"/>
    <x v="8"/>
    <n v="0"/>
    <n v="14.6"/>
    <n v="8.0671897447231744E-2"/>
    <s v="profit"/>
    <s v="No Discount"/>
    <s v="Normal"/>
  </r>
  <r>
    <s v="ORD-1294"/>
    <d v="2023-11-07T00:00:00"/>
    <d v="2023-11-10T00:00:00"/>
    <n v="3"/>
    <x v="0"/>
    <x v="6"/>
    <x v="0"/>
    <s v="Q4"/>
    <x v="1"/>
    <x v="3"/>
    <x v="2"/>
    <x v="2"/>
    <n v="641.08000000000004"/>
    <x v="8"/>
    <n v="0.1"/>
    <n v="5.12"/>
    <n v="7.9865227428714044E-3"/>
    <s v="profit"/>
    <s v="low"/>
    <s v="Normal"/>
  </r>
  <r>
    <s v="ORD-1295"/>
    <d v="2023-10-25T00:00:00"/>
    <d v="2023-10-26T00:00:00"/>
    <n v="1"/>
    <x v="0"/>
    <x v="2"/>
    <x v="0"/>
    <s v="Q4"/>
    <x v="0"/>
    <x v="2"/>
    <x v="2"/>
    <x v="2"/>
    <n v="879.66"/>
    <x v="2"/>
    <n v="0"/>
    <n v="115.77"/>
    <n v="0.13160766659845849"/>
    <s v="profit"/>
    <s v="No Discount"/>
    <s v="faster"/>
  </r>
  <r>
    <s v="ORD-1296"/>
    <d v="2023-04-14T00:00:00"/>
    <d v="2023-04-15T00:00:00"/>
    <n v="1"/>
    <x v="1"/>
    <x v="11"/>
    <x v="0"/>
    <s v="Q2"/>
    <x v="2"/>
    <x v="3"/>
    <x v="1"/>
    <x v="1"/>
    <n v="462.91"/>
    <x v="5"/>
    <n v="0.3"/>
    <n v="-86.2"/>
    <n v="-0.18621330280184054"/>
    <s v="loss"/>
    <s v="medium"/>
    <s v="faster"/>
  </r>
  <r>
    <s v="ORD-1297"/>
    <d v="2023-07-22T00:00:00"/>
    <d v="2023-07-28T00:00:00"/>
    <n v="6"/>
    <x v="0"/>
    <x v="5"/>
    <x v="0"/>
    <s v="Q3"/>
    <x v="2"/>
    <x v="3"/>
    <x v="1"/>
    <x v="4"/>
    <n v="473.43"/>
    <x v="9"/>
    <n v="0.1"/>
    <n v="17.78"/>
    <n v="3.7555710453498932E-2"/>
    <s v="profit"/>
    <s v="low"/>
    <s v="slow"/>
  </r>
  <r>
    <s v="ORD-1298"/>
    <d v="2023-04-09T00:00:00"/>
    <d v="2023-04-12T00:00:00"/>
    <n v="3"/>
    <x v="3"/>
    <x v="11"/>
    <x v="0"/>
    <s v="Q2"/>
    <x v="2"/>
    <x v="3"/>
    <x v="1"/>
    <x v="6"/>
    <n v="449.97"/>
    <x v="0"/>
    <n v="0"/>
    <n v="41.25"/>
    <n v="9.1672778185212342E-2"/>
    <s v="profit"/>
    <s v="No Discount"/>
    <s v="Normal"/>
  </r>
  <r>
    <s v="ORD-1299"/>
    <d v="2023-01-08T00:00:00"/>
    <d v="2023-01-10T00:00:00"/>
    <n v="2"/>
    <x v="0"/>
    <x v="8"/>
    <x v="0"/>
    <s v="Q1"/>
    <x v="0"/>
    <x v="2"/>
    <x v="2"/>
    <x v="8"/>
    <n v="901.58"/>
    <x v="3"/>
    <n v="0.2"/>
    <n v="-72.930000000000007"/>
    <n v="-8.0891324119878441E-2"/>
    <s v="loss"/>
    <s v="low"/>
    <s v="faster"/>
  </r>
  <r>
    <s v="ORD-1300"/>
    <d v="2023-11-29T00:00:00"/>
    <d v="2023-12-01T00:00:00"/>
    <n v="2"/>
    <x v="2"/>
    <x v="6"/>
    <x v="0"/>
    <s v="Q4"/>
    <x v="0"/>
    <x v="0"/>
    <x v="1"/>
    <x v="4"/>
    <n v="85.29"/>
    <x v="0"/>
    <n v="0.3"/>
    <n v="6.64"/>
    <n v="7.7852034236135528E-2"/>
    <s v="profit"/>
    <s v="medium"/>
    <s v="faster"/>
  </r>
  <r>
    <s v="ORD-1301"/>
    <d v="2023-01-12T00:00:00"/>
    <d v="2023-01-14T00:00:00"/>
    <n v="2"/>
    <x v="0"/>
    <x v="8"/>
    <x v="0"/>
    <s v="Q1"/>
    <x v="2"/>
    <x v="3"/>
    <x v="2"/>
    <x v="7"/>
    <n v="134.56"/>
    <x v="3"/>
    <n v="0.1"/>
    <n v="3.3"/>
    <n v="2.45243757431629E-2"/>
    <s v="profit"/>
    <s v="low"/>
    <s v="faster"/>
  </r>
  <r>
    <s v="ORD-1302"/>
    <d v="2023-04-21T00:00:00"/>
    <d v="2023-04-25T00:00:00"/>
    <n v="4"/>
    <x v="0"/>
    <x v="11"/>
    <x v="0"/>
    <s v="Q2"/>
    <x v="0"/>
    <x v="3"/>
    <x v="2"/>
    <x v="7"/>
    <n v="735.94"/>
    <x v="9"/>
    <n v="0.1"/>
    <n v="-10.25"/>
    <n v="-1.3927765850476941E-2"/>
    <s v="loss"/>
    <s v="low"/>
    <s v="Normal"/>
  </r>
  <r>
    <s v="ORD-1303"/>
    <d v="2023-01-22T00:00:00"/>
    <d v="2023-01-25T00:00:00"/>
    <n v="3"/>
    <x v="3"/>
    <x v="8"/>
    <x v="0"/>
    <s v="Q1"/>
    <x v="1"/>
    <x v="2"/>
    <x v="0"/>
    <x v="5"/>
    <n v="798.14"/>
    <x v="9"/>
    <n v="0"/>
    <n v="94.49"/>
    <n v="0.11838775152228932"/>
    <s v="profit"/>
    <s v="No Discount"/>
    <s v="Normal"/>
  </r>
  <r>
    <s v="ORD-1304"/>
    <d v="2023-01-29T00:00:00"/>
    <d v="2023-02-03T00:00:00"/>
    <n v="5"/>
    <x v="3"/>
    <x v="8"/>
    <x v="0"/>
    <s v="Q1"/>
    <x v="1"/>
    <x v="2"/>
    <x v="1"/>
    <x v="6"/>
    <n v="746.63"/>
    <x v="6"/>
    <n v="0.2"/>
    <n v="-39.46"/>
    <n v="-5.2850809637973298E-2"/>
    <s v="loss"/>
    <s v="low"/>
    <s v="slow"/>
  </r>
  <r>
    <s v="ORD-1305"/>
    <d v="2023-12-12T00:00:00"/>
    <d v="2023-12-16T00:00:00"/>
    <n v="4"/>
    <x v="1"/>
    <x v="9"/>
    <x v="0"/>
    <s v="Q4"/>
    <x v="2"/>
    <x v="2"/>
    <x v="2"/>
    <x v="7"/>
    <n v="168.64"/>
    <x v="6"/>
    <n v="0"/>
    <n v="46.35"/>
    <n v="0.27484582542694502"/>
    <s v="profit"/>
    <s v="No Discount"/>
    <s v="Normal"/>
  </r>
  <r>
    <s v="ORD-1306"/>
    <d v="2023-04-13T00:00:00"/>
    <d v="2023-04-15T00:00:00"/>
    <n v="2"/>
    <x v="1"/>
    <x v="11"/>
    <x v="0"/>
    <s v="Q2"/>
    <x v="2"/>
    <x v="0"/>
    <x v="2"/>
    <x v="2"/>
    <n v="783"/>
    <x v="2"/>
    <n v="0"/>
    <n v="60.65"/>
    <n v="7.7458492975734358E-2"/>
    <s v="profit"/>
    <s v="No Discount"/>
    <s v="faster"/>
  </r>
  <r>
    <s v="ORD-1307"/>
    <d v="2023-07-01T00:00:00"/>
    <d v="2023-07-03T00:00:00"/>
    <n v="2"/>
    <x v="0"/>
    <x v="5"/>
    <x v="0"/>
    <s v="Q3"/>
    <x v="2"/>
    <x v="1"/>
    <x v="0"/>
    <x v="0"/>
    <n v="578.49"/>
    <x v="1"/>
    <n v="0.1"/>
    <n v="14.58"/>
    <n v="2.5203547165897424E-2"/>
    <s v="profit"/>
    <s v="low"/>
    <s v="faster"/>
  </r>
  <r>
    <s v="ORD-1308"/>
    <d v="2023-12-02T00:00:00"/>
    <d v="2023-12-07T00:00:00"/>
    <n v="5"/>
    <x v="0"/>
    <x v="9"/>
    <x v="0"/>
    <s v="Q4"/>
    <x v="0"/>
    <x v="3"/>
    <x v="1"/>
    <x v="1"/>
    <n v="759.54"/>
    <x v="8"/>
    <n v="0.1"/>
    <n v="37.49"/>
    <n v="4.935882244516418E-2"/>
    <s v="profit"/>
    <s v="low"/>
    <s v="slow"/>
  </r>
  <r>
    <s v="ORD-1309"/>
    <d v="2023-10-18T00:00:00"/>
    <d v="2023-10-19T00:00:00"/>
    <n v="1"/>
    <x v="0"/>
    <x v="2"/>
    <x v="0"/>
    <s v="Q4"/>
    <x v="2"/>
    <x v="0"/>
    <x v="2"/>
    <x v="8"/>
    <n v="128.41999999999999"/>
    <x v="6"/>
    <n v="0.3"/>
    <n v="-13.69"/>
    <n v="-0.10660333281420341"/>
    <s v="loss"/>
    <s v="medium"/>
    <s v="faster"/>
  </r>
  <r>
    <s v="ORD-1310"/>
    <d v="2023-05-07T00:00:00"/>
    <d v="2023-05-10T00:00:00"/>
    <n v="3"/>
    <x v="1"/>
    <x v="0"/>
    <x v="0"/>
    <s v="Q2"/>
    <x v="2"/>
    <x v="0"/>
    <x v="0"/>
    <x v="5"/>
    <n v="611.88"/>
    <x v="0"/>
    <n v="0.2"/>
    <n v="-25.38"/>
    <n v="-4.1478721317905469E-2"/>
    <s v="loss"/>
    <s v="low"/>
    <s v="Normal"/>
  </r>
  <r>
    <s v="ORD-1311"/>
    <d v="2023-03-14T00:00:00"/>
    <d v="2023-03-15T00:00:00"/>
    <n v="1"/>
    <x v="3"/>
    <x v="3"/>
    <x v="0"/>
    <s v="Q1"/>
    <x v="2"/>
    <x v="3"/>
    <x v="2"/>
    <x v="2"/>
    <n v="166.92"/>
    <x v="6"/>
    <n v="0.2"/>
    <n v="-8.07"/>
    <n v="-4.834651329978433E-2"/>
    <s v="loss"/>
    <s v="low"/>
    <s v="faster"/>
  </r>
  <r>
    <s v="ORD-1312"/>
    <d v="2023-12-25T00:00:00"/>
    <d v="2023-12-27T00:00:00"/>
    <n v="2"/>
    <x v="3"/>
    <x v="9"/>
    <x v="0"/>
    <s v="Q4"/>
    <x v="0"/>
    <x v="2"/>
    <x v="0"/>
    <x v="0"/>
    <n v="776.44"/>
    <x v="3"/>
    <n v="0.2"/>
    <n v="-52.76"/>
    <n v="-6.7951161712431082E-2"/>
    <s v="loss"/>
    <s v="low"/>
    <s v="faster"/>
  </r>
  <r>
    <s v="ORD-1313"/>
    <d v="2023-01-05T00:00:00"/>
    <d v="2023-01-12T00:00:00"/>
    <n v="7"/>
    <x v="3"/>
    <x v="8"/>
    <x v="0"/>
    <s v="Q1"/>
    <x v="0"/>
    <x v="0"/>
    <x v="0"/>
    <x v="3"/>
    <n v="700.07"/>
    <x v="6"/>
    <n v="0.3"/>
    <n v="-109.88"/>
    <n v="-0.15695573299812873"/>
    <s v="loss"/>
    <s v="medium"/>
    <s v="slow"/>
  </r>
  <r>
    <s v="ORD-1314"/>
    <d v="2023-02-17T00:00:00"/>
    <d v="2023-02-18T00:00:00"/>
    <n v="1"/>
    <x v="2"/>
    <x v="1"/>
    <x v="0"/>
    <s v="Q1"/>
    <x v="2"/>
    <x v="3"/>
    <x v="0"/>
    <x v="5"/>
    <n v="607.04999999999995"/>
    <x v="5"/>
    <n v="0.3"/>
    <n v="-128.69999999999999"/>
    <n v="-0.21200889547813195"/>
    <s v="loss"/>
    <s v="medium"/>
    <s v="faster"/>
  </r>
  <r>
    <s v="ORD-1315"/>
    <d v="2023-02-24T00:00:00"/>
    <d v="2023-02-25T00:00:00"/>
    <n v="1"/>
    <x v="2"/>
    <x v="1"/>
    <x v="0"/>
    <s v="Q1"/>
    <x v="2"/>
    <x v="3"/>
    <x v="0"/>
    <x v="5"/>
    <n v="910.28"/>
    <x v="8"/>
    <n v="0.1"/>
    <n v="-4.09"/>
    <n v="-4.4931229951223799E-3"/>
    <s v="loss"/>
    <s v="low"/>
    <s v="faster"/>
  </r>
  <r>
    <s v="ORD-1316"/>
    <d v="2023-09-14T00:00:00"/>
    <d v="2023-09-19T00:00:00"/>
    <n v="5"/>
    <x v="1"/>
    <x v="7"/>
    <x v="0"/>
    <s v="Q3"/>
    <x v="0"/>
    <x v="0"/>
    <x v="1"/>
    <x v="6"/>
    <n v="435.12"/>
    <x v="2"/>
    <n v="0.1"/>
    <n v="46.31"/>
    <n v="0.10643041000183857"/>
    <s v="profit"/>
    <s v="low"/>
    <s v="slow"/>
  </r>
  <r>
    <s v="ORD-1317"/>
    <d v="2023-04-01T00:00:00"/>
    <d v="2023-04-08T00:00:00"/>
    <n v="7"/>
    <x v="1"/>
    <x v="11"/>
    <x v="0"/>
    <s v="Q2"/>
    <x v="1"/>
    <x v="1"/>
    <x v="1"/>
    <x v="1"/>
    <n v="170.28"/>
    <x v="4"/>
    <n v="0"/>
    <n v="6.77"/>
    <n v="3.9758045571999058E-2"/>
    <s v="profit"/>
    <s v="No Discount"/>
    <s v="slow"/>
  </r>
  <r>
    <s v="ORD-1318"/>
    <d v="2023-12-08T00:00:00"/>
    <d v="2023-12-11T00:00:00"/>
    <n v="3"/>
    <x v="2"/>
    <x v="9"/>
    <x v="0"/>
    <s v="Q4"/>
    <x v="2"/>
    <x v="3"/>
    <x v="0"/>
    <x v="0"/>
    <n v="118.78"/>
    <x v="7"/>
    <n v="0"/>
    <n v="-6.85"/>
    <n v="-5.7669641353763255E-2"/>
    <s v="loss"/>
    <s v="No Discount"/>
    <s v="Normal"/>
  </r>
  <r>
    <s v="ORD-1319"/>
    <d v="2023-05-20T00:00:00"/>
    <d v="2023-05-21T00:00:00"/>
    <n v="1"/>
    <x v="2"/>
    <x v="0"/>
    <x v="0"/>
    <s v="Q2"/>
    <x v="0"/>
    <x v="3"/>
    <x v="0"/>
    <x v="5"/>
    <n v="874.68"/>
    <x v="5"/>
    <n v="0.3"/>
    <n v="-187.78"/>
    <n v="-0.21468422737458273"/>
    <s v="loss"/>
    <s v="medium"/>
    <s v="faster"/>
  </r>
  <r>
    <s v="ORD-1320"/>
    <d v="2023-08-21T00:00:00"/>
    <d v="2023-08-26T00:00:00"/>
    <n v="5"/>
    <x v="0"/>
    <x v="10"/>
    <x v="0"/>
    <s v="Q3"/>
    <x v="0"/>
    <x v="1"/>
    <x v="1"/>
    <x v="4"/>
    <n v="920.38"/>
    <x v="1"/>
    <n v="0"/>
    <n v="136.61000000000001"/>
    <n v="0.14842782329038007"/>
    <s v="profit"/>
    <s v="No Discount"/>
    <s v="slow"/>
  </r>
  <r>
    <s v="ORD-1321"/>
    <d v="2023-06-10T00:00:00"/>
    <d v="2023-06-11T00:00:00"/>
    <n v="1"/>
    <x v="0"/>
    <x v="4"/>
    <x v="0"/>
    <s v="Q2"/>
    <x v="2"/>
    <x v="3"/>
    <x v="0"/>
    <x v="3"/>
    <n v="713.09"/>
    <x v="3"/>
    <n v="0.1"/>
    <n v="33.99"/>
    <n v="4.7665792536706449E-2"/>
    <s v="profit"/>
    <s v="low"/>
    <s v="faster"/>
  </r>
  <r>
    <s v="ORD-1322"/>
    <d v="2023-01-01T00:00:00"/>
    <d v="2023-01-08T00:00:00"/>
    <n v="7"/>
    <x v="0"/>
    <x v="8"/>
    <x v="0"/>
    <s v="Q1"/>
    <x v="1"/>
    <x v="3"/>
    <x v="1"/>
    <x v="6"/>
    <n v="386.95"/>
    <x v="0"/>
    <n v="0"/>
    <n v="48.38"/>
    <n v="0.12502907352371109"/>
    <s v="profit"/>
    <s v="No Discount"/>
    <s v="slow"/>
  </r>
  <r>
    <s v="ORD-1323"/>
    <d v="2023-01-26T00:00:00"/>
    <d v="2023-01-31T00:00:00"/>
    <n v="5"/>
    <x v="1"/>
    <x v="8"/>
    <x v="0"/>
    <s v="Q1"/>
    <x v="1"/>
    <x v="1"/>
    <x v="0"/>
    <x v="5"/>
    <n v="741.72"/>
    <x v="8"/>
    <n v="0.3"/>
    <n v="-109.51"/>
    <n v="-0.14764331553686028"/>
    <s v="loss"/>
    <s v="medium"/>
    <s v="slow"/>
  </r>
  <r>
    <s v="ORD-1324"/>
    <d v="2023-03-05T00:00:00"/>
    <d v="2023-03-09T00:00:00"/>
    <n v="4"/>
    <x v="3"/>
    <x v="3"/>
    <x v="0"/>
    <s v="Q1"/>
    <x v="1"/>
    <x v="3"/>
    <x v="0"/>
    <x v="5"/>
    <n v="912.47"/>
    <x v="0"/>
    <n v="0"/>
    <n v="79.17"/>
    <n v="8.676449636700384E-2"/>
    <s v="profit"/>
    <s v="No Discount"/>
    <s v="Normal"/>
  </r>
  <r>
    <s v="ORD-1325"/>
    <d v="2023-08-21T00:00:00"/>
    <d v="2023-08-24T00:00:00"/>
    <n v="3"/>
    <x v="1"/>
    <x v="10"/>
    <x v="0"/>
    <s v="Q3"/>
    <x v="1"/>
    <x v="0"/>
    <x v="0"/>
    <x v="3"/>
    <n v="985.14"/>
    <x v="3"/>
    <n v="0.1"/>
    <n v="-6.96"/>
    <n v="-7.064985687313478E-3"/>
    <s v="loss"/>
    <s v="low"/>
    <s v="Normal"/>
  </r>
  <r>
    <s v="ORD-1326"/>
    <d v="2023-12-01T00:00:00"/>
    <d v="2023-12-03T00:00:00"/>
    <n v="2"/>
    <x v="1"/>
    <x v="9"/>
    <x v="0"/>
    <s v="Q4"/>
    <x v="2"/>
    <x v="3"/>
    <x v="2"/>
    <x v="8"/>
    <n v="840.74"/>
    <x v="8"/>
    <n v="0"/>
    <n v="124.97"/>
    <n v="0.14864286224040726"/>
    <s v="profit"/>
    <s v="No Discount"/>
    <s v="faster"/>
  </r>
  <r>
    <s v="ORD-1327"/>
    <d v="2023-11-04T00:00:00"/>
    <d v="2023-11-06T00:00:00"/>
    <n v="2"/>
    <x v="0"/>
    <x v="6"/>
    <x v="0"/>
    <s v="Q4"/>
    <x v="2"/>
    <x v="2"/>
    <x v="2"/>
    <x v="2"/>
    <n v="528.46"/>
    <x v="3"/>
    <n v="0.3"/>
    <n v="-83.14"/>
    <n v="-0.1573250577148696"/>
    <s v="loss"/>
    <s v="medium"/>
    <s v="faster"/>
  </r>
  <r>
    <s v="ORD-1328"/>
    <d v="2023-06-02T00:00:00"/>
    <d v="2023-06-09T00:00:00"/>
    <n v="7"/>
    <x v="1"/>
    <x v="4"/>
    <x v="0"/>
    <s v="Q2"/>
    <x v="0"/>
    <x v="2"/>
    <x v="2"/>
    <x v="7"/>
    <n v="391.72"/>
    <x v="6"/>
    <n v="0"/>
    <n v="42.64"/>
    <n v="0.10885326253446338"/>
    <s v="profit"/>
    <s v="No Discount"/>
    <s v="slow"/>
  </r>
  <r>
    <s v="ORD-1329"/>
    <d v="2023-12-27T00:00:00"/>
    <d v="2024-01-02T00:00:00"/>
    <n v="6"/>
    <x v="1"/>
    <x v="9"/>
    <x v="0"/>
    <s v="Q4"/>
    <x v="1"/>
    <x v="1"/>
    <x v="0"/>
    <x v="0"/>
    <n v="806.8"/>
    <x v="8"/>
    <n v="0"/>
    <n v="102.94"/>
    <n v="0.12759048091224592"/>
    <s v="profit"/>
    <s v="No Discount"/>
    <s v="slow"/>
  </r>
  <r>
    <s v="ORD-1330"/>
    <d v="2023-06-08T00:00:00"/>
    <d v="2023-06-11T00:00:00"/>
    <n v="3"/>
    <x v="2"/>
    <x v="4"/>
    <x v="0"/>
    <s v="Q2"/>
    <x v="0"/>
    <x v="0"/>
    <x v="0"/>
    <x v="3"/>
    <n v="131.97999999999999"/>
    <x v="4"/>
    <n v="0.3"/>
    <n v="-8.7799999999999994"/>
    <n v="-6.6525231095620543E-2"/>
    <s v="loss"/>
    <s v="medium"/>
    <s v="Normal"/>
  </r>
  <r>
    <s v="ORD-1331"/>
    <d v="2023-02-11T00:00:00"/>
    <d v="2023-02-18T00:00:00"/>
    <n v="7"/>
    <x v="1"/>
    <x v="1"/>
    <x v="0"/>
    <s v="Q1"/>
    <x v="2"/>
    <x v="2"/>
    <x v="0"/>
    <x v="3"/>
    <n v="921.46"/>
    <x v="0"/>
    <n v="0.1"/>
    <n v="12.6"/>
    <n v="1.3673952206281335E-2"/>
    <s v="profit"/>
    <s v="low"/>
    <s v="slow"/>
  </r>
  <r>
    <s v="ORD-1332"/>
    <d v="2023-12-31T00:00:00"/>
    <d v="2024-01-02T00:00:00"/>
    <n v="2"/>
    <x v="1"/>
    <x v="9"/>
    <x v="0"/>
    <s v="Q4"/>
    <x v="2"/>
    <x v="0"/>
    <x v="0"/>
    <x v="5"/>
    <n v="491.22"/>
    <x v="1"/>
    <n v="0.2"/>
    <n v="-37.47"/>
    <n v="-7.6279467448393784E-2"/>
    <s v="loss"/>
    <s v="low"/>
    <s v="faster"/>
  </r>
  <r>
    <s v="ORD-1333"/>
    <d v="2023-05-07T00:00:00"/>
    <d v="2023-05-14T00:00:00"/>
    <n v="7"/>
    <x v="2"/>
    <x v="0"/>
    <x v="0"/>
    <s v="Q2"/>
    <x v="2"/>
    <x v="2"/>
    <x v="0"/>
    <x v="3"/>
    <n v="240.11"/>
    <x v="7"/>
    <n v="0.3"/>
    <n v="-4.13"/>
    <n v="-1.7200449793844486E-2"/>
    <s v="loss"/>
    <s v="medium"/>
    <s v="slow"/>
  </r>
  <r>
    <s v="ORD-1334"/>
    <d v="2023-01-16T00:00:00"/>
    <d v="2023-01-18T00:00:00"/>
    <n v="2"/>
    <x v="1"/>
    <x v="8"/>
    <x v="0"/>
    <s v="Q1"/>
    <x v="0"/>
    <x v="3"/>
    <x v="1"/>
    <x v="1"/>
    <n v="263.26"/>
    <x v="1"/>
    <n v="0"/>
    <n v="41.21"/>
    <n v="0.15653726354174582"/>
    <s v="profit"/>
    <s v="No Discount"/>
    <s v="faster"/>
  </r>
  <r>
    <s v="ORD-1335"/>
    <d v="2023-11-18T00:00:00"/>
    <d v="2023-11-25T00:00:00"/>
    <n v="7"/>
    <x v="2"/>
    <x v="6"/>
    <x v="0"/>
    <s v="Q4"/>
    <x v="2"/>
    <x v="3"/>
    <x v="1"/>
    <x v="4"/>
    <n v="430.55"/>
    <x v="1"/>
    <n v="0.3"/>
    <n v="-84.31"/>
    <n v="-0.19581930089420507"/>
    <s v="loss"/>
    <s v="medium"/>
    <s v="slow"/>
  </r>
  <r>
    <s v="ORD-1336"/>
    <d v="2023-02-19T00:00:00"/>
    <d v="2023-02-20T00:00:00"/>
    <n v="1"/>
    <x v="1"/>
    <x v="1"/>
    <x v="0"/>
    <s v="Q1"/>
    <x v="0"/>
    <x v="1"/>
    <x v="1"/>
    <x v="6"/>
    <n v="784.89"/>
    <x v="6"/>
    <n v="0.2"/>
    <n v="-54.23"/>
    <n v="-6.9092484297162651E-2"/>
    <s v="loss"/>
    <s v="low"/>
    <s v="faster"/>
  </r>
  <r>
    <s v="ORD-1337"/>
    <d v="2023-02-16T00:00:00"/>
    <d v="2023-02-20T00:00:00"/>
    <n v="4"/>
    <x v="2"/>
    <x v="1"/>
    <x v="0"/>
    <s v="Q1"/>
    <x v="0"/>
    <x v="0"/>
    <x v="1"/>
    <x v="1"/>
    <n v="32.83"/>
    <x v="9"/>
    <n v="0"/>
    <n v="19.350000000000001"/>
    <n v="0.58939993908010968"/>
    <s v="profit"/>
    <s v="No Discount"/>
    <s v="Normal"/>
  </r>
  <r>
    <s v="ORD-1338"/>
    <d v="2023-04-30T00:00:00"/>
    <d v="2023-05-06T00:00:00"/>
    <n v="6"/>
    <x v="2"/>
    <x v="11"/>
    <x v="0"/>
    <s v="Q2"/>
    <x v="1"/>
    <x v="1"/>
    <x v="0"/>
    <x v="0"/>
    <n v="976.03"/>
    <x v="1"/>
    <n v="0"/>
    <n v="88.01"/>
    <n v="9.0171408665717254E-2"/>
    <s v="profit"/>
    <s v="No Discount"/>
    <s v="slow"/>
  </r>
  <r>
    <s v="ORD-1339"/>
    <d v="2023-08-30T00:00:00"/>
    <d v="2023-09-05T00:00:00"/>
    <n v="6"/>
    <x v="0"/>
    <x v="10"/>
    <x v="0"/>
    <s v="Q3"/>
    <x v="2"/>
    <x v="1"/>
    <x v="0"/>
    <x v="0"/>
    <n v="426.33"/>
    <x v="3"/>
    <n v="0.3"/>
    <n v="-67.81"/>
    <n v="-0.1590551919874276"/>
    <s v="loss"/>
    <s v="medium"/>
    <s v="slow"/>
  </r>
  <r>
    <s v="ORD-1340"/>
    <d v="2023-10-29T00:00:00"/>
    <d v="2023-10-30T00:00:00"/>
    <n v="1"/>
    <x v="0"/>
    <x v="2"/>
    <x v="0"/>
    <s v="Q4"/>
    <x v="0"/>
    <x v="0"/>
    <x v="2"/>
    <x v="2"/>
    <n v="200.77"/>
    <x v="8"/>
    <n v="0.2"/>
    <n v="1.6"/>
    <n v="7.9693181252179102E-3"/>
    <s v="profit"/>
    <s v="low"/>
    <s v="faster"/>
  </r>
  <r>
    <s v="ORD-1341"/>
    <d v="2023-08-20T00:00:00"/>
    <d v="2023-08-23T00:00:00"/>
    <n v="3"/>
    <x v="1"/>
    <x v="10"/>
    <x v="0"/>
    <s v="Q3"/>
    <x v="0"/>
    <x v="2"/>
    <x v="0"/>
    <x v="0"/>
    <n v="85.73"/>
    <x v="7"/>
    <n v="0.2"/>
    <n v="1.3"/>
    <n v="1.5163886620786189E-2"/>
    <s v="profit"/>
    <s v="low"/>
    <s v="Normal"/>
  </r>
  <r>
    <s v="ORD-1342"/>
    <d v="2023-05-04T00:00:00"/>
    <d v="2023-05-11T00:00:00"/>
    <n v="7"/>
    <x v="0"/>
    <x v="0"/>
    <x v="0"/>
    <s v="Q2"/>
    <x v="2"/>
    <x v="2"/>
    <x v="1"/>
    <x v="1"/>
    <n v="803.79"/>
    <x v="5"/>
    <n v="0.1"/>
    <n v="-5.64"/>
    <n v="-7.0167581084611651E-3"/>
    <s v="loss"/>
    <s v="low"/>
    <s v="slow"/>
  </r>
  <r>
    <s v="ORD-1343"/>
    <d v="2023-09-21T00:00:00"/>
    <d v="2023-09-25T00:00:00"/>
    <n v="4"/>
    <x v="1"/>
    <x v="7"/>
    <x v="0"/>
    <s v="Q3"/>
    <x v="0"/>
    <x v="1"/>
    <x v="0"/>
    <x v="5"/>
    <n v="206.87"/>
    <x v="7"/>
    <n v="0"/>
    <n v="27.13"/>
    <n v="0.13114516362933243"/>
    <s v="profit"/>
    <s v="No Discount"/>
    <s v="Normal"/>
  </r>
  <r>
    <s v="ORD-1344"/>
    <d v="2023-08-02T00:00:00"/>
    <d v="2023-08-05T00:00:00"/>
    <n v="3"/>
    <x v="1"/>
    <x v="10"/>
    <x v="0"/>
    <s v="Q3"/>
    <x v="1"/>
    <x v="2"/>
    <x v="0"/>
    <x v="3"/>
    <n v="839.83"/>
    <x v="4"/>
    <n v="0.2"/>
    <n v="-99.38"/>
    <n v="-0.11833347225033637"/>
    <s v="loss"/>
    <s v="low"/>
    <s v="Normal"/>
  </r>
  <r>
    <s v="ORD-1345"/>
    <d v="2023-06-29T00:00:00"/>
    <d v="2023-06-30T00:00:00"/>
    <n v="1"/>
    <x v="0"/>
    <x v="4"/>
    <x v="0"/>
    <s v="Q2"/>
    <x v="0"/>
    <x v="0"/>
    <x v="1"/>
    <x v="4"/>
    <n v="780.02"/>
    <x v="5"/>
    <n v="0.2"/>
    <n v="-61.07"/>
    <n v="-7.8292864285531144E-2"/>
    <s v="loss"/>
    <s v="low"/>
    <s v="faster"/>
  </r>
  <r>
    <s v="ORD-1346"/>
    <d v="2023-05-22T00:00:00"/>
    <d v="2023-05-28T00:00:00"/>
    <n v="6"/>
    <x v="1"/>
    <x v="0"/>
    <x v="0"/>
    <s v="Q2"/>
    <x v="1"/>
    <x v="2"/>
    <x v="2"/>
    <x v="8"/>
    <n v="543.77"/>
    <x v="5"/>
    <n v="0"/>
    <n v="62.43"/>
    <n v="0.11480957022270445"/>
    <s v="profit"/>
    <s v="No Discount"/>
    <s v="slow"/>
  </r>
  <r>
    <s v="ORD-1347"/>
    <d v="2023-01-25T00:00:00"/>
    <d v="2023-01-26T00:00:00"/>
    <n v="1"/>
    <x v="1"/>
    <x v="8"/>
    <x v="0"/>
    <s v="Q1"/>
    <x v="1"/>
    <x v="3"/>
    <x v="0"/>
    <x v="3"/>
    <n v="568.45000000000005"/>
    <x v="9"/>
    <n v="0.2"/>
    <n v="-69.64"/>
    <n v="-0.12250857595215058"/>
    <s v="loss"/>
    <s v="low"/>
    <s v="faster"/>
  </r>
  <r>
    <s v="ORD-1348"/>
    <d v="2023-01-18T00:00:00"/>
    <d v="2023-01-25T00:00:00"/>
    <n v="7"/>
    <x v="3"/>
    <x v="8"/>
    <x v="0"/>
    <s v="Q1"/>
    <x v="2"/>
    <x v="0"/>
    <x v="2"/>
    <x v="7"/>
    <n v="347.68"/>
    <x v="1"/>
    <n v="0.2"/>
    <n v="11.46"/>
    <n v="3.2961343764381042E-2"/>
    <s v="profit"/>
    <s v="low"/>
    <s v="slow"/>
  </r>
  <r>
    <s v="ORD-1349"/>
    <d v="2023-02-15T00:00:00"/>
    <d v="2023-02-20T00:00:00"/>
    <n v="5"/>
    <x v="0"/>
    <x v="1"/>
    <x v="0"/>
    <s v="Q1"/>
    <x v="0"/>
    <x v="3"/>
    <x v="1"/>
    <x v="6"/>
    <n v="385.84"/>
    <x v="0"/>
    <n v="0.1"/>
    <n v="42.82"/>
    <n v="0.11097864399751194"/>
    <s v="profit"/>
    <s v="low"/>
    <s v="slow"/>
  </r>
  <r>
    <s v="ORD-1350"/>
    <d v="2023-11-10T00:00:00"/>
    <d v="2023-11-14T00:00:00"/>
    <n v="4"/>
    <x v="2"/>
    <x v="6"/>
    <x v="0"/>
    <s v="Q4"/>
    <x v="2"/>
    <x v="3"/>
    <x v="1"/>
    <x v="1"/>
    <n v="536.04999999999995"/>
    <x v="9"/>
    <n v="0"/>
    <n v="35.380000000000003"/>
    <n v="6.6001305848335051E-2"/>
    <s v="profit"/>
    <s v="No Discount"/>
    <s v="Normal"/>
  </r>
  <r>
    <s v="ORD-1351"/>
    <d v="2023-08-21T00:00:00"/>
    <d v="2023-08-27T00:00:00"/>
    <n v="6"/>
    <x v="1"/>
    <x v="10"/>
    <x v="0"/>
    <s v="Q3"/>
    <x v="2"/>
    <x v="1"/>
    <x v="1"/>
    <x v="4"/>
    <n v="173.03"/>
    <x v="7"/>
    <n v="0.1"/>
    <n v="40.69"/>
    <n v="0.23516153268219384"/>
    <s v="profit"/>
    <s v="low"/>
    <s v="slow"/>
  </r>
  <r>
    <s v="ORD-1352"/>
    <d v="2023-04-25T00:00:00"/>
    <d v="2023-05-02T00:00:00"/>
    <n v="7"/>
    <x v="3"/>
    <x v="11"/>
    <x v="0"/>
    <s v="Q2"/>
    <x v="2"/>
    <x v="1"/>
    <x v="1"/>
    <x v="6"/>
    <n v="419.82"/>
    <x v="7"/>
    <n v="0"/>
    <n v="37.520000000000003"/>
    <n v="8.93716354628174E-2"/>
    <s v="profit"/>
    <s v="No Discount"/>
    <s v="slow"/>
  </r>
  <r>
    <s v="ORD-1353"/>
    <d v="2023-08-14T00:00:00"/>
    <d v="2023-08-15T00:00:00"/>
    <n v="1"/>
    <x v="0"/>
    <x v="10"/>
    <x v="0"/>
    <s v="Q3"/>
    <x v="0"/>
    <x v="1"/>
    <x v="2"/>
    <x v="7"/>
    <n v="246.45"/>
    <x v="7"/>
    <n v="0.2"/>
    <n v="-9.26"/>
    <n v="-3.7573544329478598E-2"/>
    <s v="loss"/>
    <s v="low"/>
    <s v="faster"/>
  </r>
  <r>
    <s v="ORD-1354"/>
    <d v="2023-11-23T00:00:00"/>
    <d v="2023-11-25T00:00:00"/>
    <n v="2"/>
    <x v="3"/>
    <x v="6"/>
    <x v="0"/>
    <s v="Q4"/>
    <x v="2"/>
    <x v="2"/>
    <x v="2"/>
    <x v="7"/>
    <n v="603.15"/>
    <x v="7"/>
    <n v="0"/>
    <n v="96.31"/>
    <n v="0.15967835530133467"/>
    <s v="profit"/>
    <s v="No Discount"/>
    <s v="faster"/>
  </r>
  <r>
    <s v="ORD-1355"/>
    <d v="2023-04-20T00:00:00"/>
    <d v="2023-04-25T00:00:00"/>
    <n v="5"/>
    <x v="1"/>
    <x v="11"/>
    <x v="0"/>
    <s v="Q2"/>
    <x v="1"/>
    <x v="2"/>
    <x v="2"/>
    <x v="8"/>
    <n v="194.97"/>
    <x v="5"/>
    <n v="0"/>
    <n v="38.47"/>
    <n v="0.19731240703698005"/>
    <s v="profit"/>
    <s v="No Discount"/>
    <s v="slow"/>
  </r>
  <r>
    <s v="ORD-1356"/>
    <d v="2023-11-28T00:00:00"/>
    <d v="2023-12-03T00:00:00"/>
    <n v="5"/>
    <x v="0"/>
    <x v="6"/>
    <x v="0"/>
    <s v="Q4"/>
    <x v="1"/>
    <x v="3"/>
    <x v="0"/>
    <x v="0"/>
    <n v="726.4"/>
    <x v="6"/>
    <n v="0.2"/>
    <n v="-75.62"/>
    <n v="-0.104102422907489"/>
    <s v="loss"/>
    <s v="low"/>
    <s v="slow"/>
  </r>
  <r>
    <s v="ORD-1357"/>
    <d v="2023-04-21T00:00:00"/>
    <d v="2023-04-23T00:00:00"/>
    <n v="2"/>
    <x v="2"/>
    <x v="11"/>
    <x v="0"/>
    <s v="Q2"/>
    <x v="2"/>
    <x v="1"/>
    <x v="2"/>
    <x v="7"/>
    <n v="727.82"/>
    <x v="7"/>
    <n v="0.3"/>
    <n v="-109.08"/>
    <n v="-0.14987222115358192"/>
    <s v="loss"/>
    <s v="medium"/>
    <s v="faster"/>
  </r>
  <r>
    <s v="ORD-1358"/>
    <d v="2023-02-14T00:00:00"/>
    <d v="2023-02-21T00:00:00"/>
    <n v="7"/>
    <x v="2"/>
    <x v="1"/>
    <x v="0"/>
    <s v="Q1"/>
    <x v="0"/>
    <x v="0"/>
    <x v="2"/>
    <x v="8"/>
    <n v="963.4"/>
    <x v="2"/>
    <n v="0.3"/>
    <n v="-165.91"/>
    <n v="-0.1722129956404401"/>
    <s v="loss"/>
    <s v="medium"/>
    <s v="slow"/>
  </r>
  <r>
    <s v="ORD-1359"/>
    <d v="2023-03-23T00:00:00"/>
    <d v="2023-03-26T00:00:00"/>
    <n v="3"/>
    <x v="3"/>
    <x v="3"/>
    <x v="0"/>
    <s v="Q1"/>
    <x v="1"/>
    <x v="2"/>
    <x v="1"/>
    <x v="6"/>
    <n v="220.88"/>
    <x v="1"/>
    <n v="0.2"/>
    <n v="-19.41"/>
    <n v="-8.787576964867802E-2"/>
    <s v="loss"/>
    <s v="low"/>
    <s v="Normal"/>
  </r>
  <r>
    <s v="ORD-1360"/>
    <d v="2023-01-08T00:00:00"/>
    <d v="2023-01-09T00:00:00"/>
    <n v="1"/>
    <x v="2"/>
    <x v="8"/>
    <x v="0"/>
    <s v="Q1"/>
    <x v="0"/>
    <x v="2"/>
    <x v="2"/>
    <x v="7"/>
    <n v="105.19"/>
    <x v="0"/>
    <n v="0.1"/>
    <n v="-14.01"/>
    <n v="-0.13318756535792375"/>
    <s v="loss"/>
    <s v="low"/>
    <s v="faster"/>
  </r>
  <r>
    <s v="ORD-1361"/>
    <d v="2023-12-16T00:00:00"/>
    <d v="2023-12-18T00:00:00"/>
    <n v="2"/>
    <x v="3"/>
    <x v="9"/>
    <x v="0"/>
    <s v="Q4"/>
    <x v="1"/>
    <x v="2"/>
    <x v="1"/>
    <x v="4"/>
    <n v="223.73"/>
    <x v="9"/>
    <n v="0.2"/>
    <n v="-33.78"/>
    <n v="-0.15098556295534798"/>
    <s v="loss"/>
    <s v="low"/>
    <s v="faster"/>
  </r>
  <r>
    <s v="ORD-1362"/>
    <d v="2023-10-29T00:00:00"/>
    <d v="2023-11-02T00:00:00"/>
    <n v="4"/>
    <x v="1"/>
    <x v="2"/>
    <x v="0"/>
    <s v="Q4"/>
    <x v="0"/>
    <x v="0"/>
    <x v="2"/>
    <x v="7"/>
    <n v="878.92"/>
    <x v="9"/>
    <n v="0"/>
    <n v="97.39"/>
    <n v="0.11080644427251628"/>
    <s v="profit"/>
    <s v="No Discount"/>
    <s v="Normal"/>
  </r>
  <r>
    <s v="ORD-1363"/>
    <d v="2023-07-29T00:00:00"/>
    <d v="2023-07-30T00:00:00"/>
    <n v="1"/>
    <x v="1"/>
    <x v="5"/>
    <x v="0"/>
    <s v="Q3"/>
    <x v="0"/>
    <x v="3"/>
    <x v="0"/>
    <x v="5"/>
    <n v="894.82"/>
    <x v="0"/>
    <n v="0.2"/>
    <n v="-65.75"/>
    <n v="-7.3478464942670033E-2"/>
    <s v="loss"/>
    <s v="low"/>
    <s v="faster"/>
  </r>
  <r>
    <s v="ORD-1364"/>
    <d v="2023-06-15T00:00:00"/>
    <d v="2023-06-19T00:00:00"/>
    <n v="4"/>
    <x v="3"/>
    <x v="4"/>
    <x v="0"/>
    <s v="Q2"/>
    <x v="1"/>
    <x v="3"/>
    <x v="1"/>
    <x v="4"/>
    <n v="349.15"/>
    <x v="9"/>
    <n v="0.2"/>
    <n v="-28.34"/>
    <n v="-8.1168552198195618E-2"/>
    <s v="loss"/>
    <s v="low"/>
    <s v="Normal"/>
  </r>
  <r>
    <s v="ORD-1365"/>
    <d v="2023-09-19T00:00:00"/>
    <d v="2023-09-23T00:00:00"/>
    <n v="4"/>
    <x v="2"/>
    <x v="7"/>
    <x v="0"/>
    <s v="Q3"/>
    <x v="2"/>
    <x v="2"/>
    <x v="2"/>
    <x v="7"/>
    <n v="598.49"/>
    <x v="8"/>
    <n v="0.3"/>
    <n v="-81.55"/>
    <n v="-0.13625958662634297"/>
    <s v="loss"/>
    <s v="medium"/>
    <s v="Normal"/>
  </r>
  <r>
    <s v="ORD-1366"/>
    <d v="2023-11-15T00:00:00"/>
    <d v="2023-11-17T00:00:00"/>
    <n v="2"/>
    <x v="3"/>
    <x v="6"/>
    <x v="0"/>
    <s v="Q4"/>
    <x v="1"/>
    <x v="2"/>
    <x v="2"/>
    <x v="7"/>
    <n v="358.29"/>
    <x v="9"/>
    <n v="0.3"/>
    <n v="-53.01"/>
    <n v="-0.14795277568450138"/>
    <s v="loss"/>
    <s v="medium"/>
    <s v="faster"/>
  </r>
  <r>
    <s v="ORD-1367"/>
    <d v="2023-09-12T00:00:00"/>
    <d v="2023-09-15T00:00:00"/>
    <n v="3"/>
    <x v="3"/>
    <x v="7"/>
    <x v="0"/>
    <s v="Q3"/>
    <x v="1"/>
    <x v="3"/>
    <x v="1"/>
    <x v="6"/>
    <n v="447.4"/>
    <x v="3"/>
    <n v="0.3"/>
    <n v="-94.11"/>
    <n v="-0.21034868126955744"/>
    <s v="loss"/>
    <s v="medium"/>
    <s v="Normal"/>
  </r>
  <r>
    <s v="ORD-1368"/>
    <d v="2023-03-28T00:00:00"/>
    <d v="2023-03-31T00:00:00"/>
    <n v="3"/>
    <x v="1"/>
    <x v="3"/>
    <x v="0"/>
    <s v="Q1"/>
    <x v="1"/>
    <x v="3"/>
    <x v="0"/>
    <x v="3"/>
    <n v="975.06"/>
    <x v="9"/>
    <n v="0.3"/>
    <n v="-205.2"/>
    <n v="-0.21044858777921358"/>
    <s v="loss"/>
    <s v="medium"/>
    <s v="Normal"/>
  </r>
  <r>
    <s v="ORD-1369"/>
    <d v="2023-12-27T00:00:00"/>
    <d v="2024-01-01T00:00:00"/>
    <n v="5"/>
    <x v="0"/>
    <x v="9"/>
    <x v="0"/>
    <s v="Q4"/>
    <x v="2"/>
    <x v="3"/>
    <x v="2"/>
    <x v="7"/>
    <n v="871.1"/>
    <x v="8"/>
    <n v="0.3"/>
    <n v="-125.24"/>
    <n v="-0.14377224199288255"/>
    <s v="loss"/>
    <s v="medium"/>
    <s v="slow"/>
  </r>
  <r>
    <s v="ORD-1370"/>
    <d v="2023-12-20T00:00:00"/>
    <d v="2023-12-26T00:00:00"/>
    <n v="6"/>
    <x v="0"/>
    <x v="9"/>
    <x v="0"/>
    <s v="Q4"/>
    <x v="1"/>
    <x v="0"/>
    <x v="2"/>
    <x v="7"/>
    <n v="481.64"/>
    <x v="2"/>
    <n v="0.3"/>
    <n v="-86.56"/>
    <n v="-0.17971929241757331"/>
    <s v="loss"/>
    <s v="medium"/>
    <s v="slow"/>
  </r>
  <r>
    <s v="ORD-1371"/>
    <d v="2023-11-28T00:00:00"/>
    <d v="2023-12-05T00:00:00"/>
    <n v="7"/>
    <x v="3"/>
    <x v="6"/>
    <x v="0"/>
    <s v="Q4"/>
    <x v="0"/>
    <x v="0"/>
    <x v="1"/>
    <x v="6"/>
    <n v="42.02"/>
    <x v="7"/>
    <n v="0.1"/>
    <n v="31.92"/>
    <n v="0.75963826749167063"/>
    <s v="profit"/>
    <s v="low"/>
    <s v="slow"/>
  </r>
  <r>
    <s v="ORD-1372"/>
    <d v="2023-08-17T00:00:00"/>
    <d v="2023-08-19T00:00:00"/>
    <n v="2"/>
    <x v="3"/>
    <x v="10"/>
    <x v="0"/>
    <s v="Q3"/>
    <x v="0"/>
    <x v="1"/>
    <x v="1"/>
    <x v="4"/>
    <n v="704.87"/>
    <x v="4"/>
    <n v="0"/>
    <n v="68.540000000000006"/>
    <n v="9.7237788528381122E-2"/>
    <s v="profit"/>
    <s v="No Discount"/>
    <s v="faster"/>
  </r>
  <r>
    <s v="ORD-1373"/>
    <d v="2023-05-23T00:00:00"/>
    <d v="2023-05-29T00:00:00"/>
    <n v="6"/>
    <x v="0"/>
    <x v="0"/>
    <x v="0"/>
    <s v="Q2"/>
    <x v="1"/>
    <x v="3"/>
    <x v="1"/>
    <x v="4"/>
    <n v="156.57"/>
    <x v="3"/>
    <n v="0.2"/>
    <n v="-6.14"/>
    <n v="-3.9215686274509803E-2"/>
    <s v="loss"/>
    <s v="low"/>
    <s v="slow"/>
  </r>
  <r>
    <s v="ORD-1374"/>
    <d v="2023-06-17T00:00:00"/>
    <d v="2023-06-19T00:00:00"/>
    <n v="2"/>
    <x v="0"/>
    <x v="4"/>
    <x v="0"/>
    <s v="Q2"/>
    <x v="0"/>
    <x v="0"/>
    <x v="2"/>
    <x v="7"/>
    <n v="149.63"/>
    <x v="7"/>
    <n v="0"/>
    <n v="6.98"/>
    <n v="4.6648399385150044E-2"/>
    <s v="profit"/>
    <s v="No Discount"/>
    <s v="faster"/>
  </r>
  <r>
    <s v="ORD-1375"/>
    <d v="2023-08-01T00:00:00"/>
    <d v="2023-08-03T00:00:00"/>
    <n v="2"/>
    <x v="0"/>
    <x v="10"/>
    <x v="0"/>
    <s v="Q3"/>
    <x v="0"/>
    <x v="3"/>
    <x v="1"/>
    <x v="4"/>
    <n v="286.86"/>
    <x v="4"/>
    <n v="0.2"/>
    <n v="8.89"/>
    <n v="3.0990727183992192E-2"/>
    <s v="profit"/>
    <s v="low"/>
    <s v="faster"/>
  </r>
  <r>
    <s v="ORD-1376"/>
    <d v="2023-06-23T00:00:00"/>
    <d v="2023-06-25T00:00:00"/>
    <n v="2"/>
    <x v="2"/>
    <x v="4"/>
    <x v="0"/>
    <s v="Q2"/>
    <x v="1"/>
    <x v="2"/>
    <x v="0"/>
    <x v="5"/>
    <n v="539.07000000000005"/>
    <x v="0"/>
    <n v="0.1"/>
    <n v="20.36"/>
    <n v="3.776874988405958E-2"/>
    <s v="profit"/>
    <s v="low"/>
    <s v="faster"/>
  </r>
  <r>
    <s v="ORD-1377"/>
    <d v="2023-12-29T00:00:00"/>
    <d v="2024-01-01T00:00:00"/>
    <n v="3"/>
    <x v="2"/>
    <x v="9"/>
    <x v="0"/>
    <s v="Q4"/>
    <x v="0"/>
    <x v="3"/>
    <x v="1"/>
    <x v="1"/>
    <n v="288.57"/>
    <x v="9"/>
    <n v="0"/>
    <n v="37.22"/>
    <n v="0.12898083653879475"/>
    <s v="profit"/>
    <s v="No Discount"/>
    <s v="Normal"/>
  </r>
  <r>
    <s v="ORD-1378"/>
    <d v="2023-08-20T00:00:00"/>
    <d v="2023-08-27T00:00:00"/>
    <n v="7"/>
    <x v="3"/>
    <x v="10"/>
    <x v="0"/>
    <s v="Q3"/>
    <x v="2"/>
    <x v="0"/>
    <x v="2"/>
    <x v="8"/>
    <n v="507.52"/>
    <x v="0"/>
    <n v="0.3"/>
    <n v="-107.05"/>
    <n v="-0.21092764817150064"/>
    <s v="loss"/>
    <s v="medium"/>
    <s v="slow"/>
  </r>
  <r>
    <s v="ORD-1379"/>
    <d v="2023-05-25T00:00:00"/>
    <d v="2023-05-29T00:00:00"/>
    <n v="4"/>
    <x v="3"/>
    <x v="0"/>
    <x v="0"/>
    <s v="Q2"/>
    <x v="1"/>
    <x v="3"/>
    <x v="2"/>
    <x v="7"/>
    <n v="30.78"/>
    <x v="8"/>
    <n v="0"/>
    <n v="1.54"/>
    <n v="5.0032488628979854E-2"/>
    <s v="profit"/>
    <s v="No Discount"/>
    <s v="Normal"/>
  </r>
  <r>
    <s v="ORD-1380"/>
    <d v="2023-03-11T00:00:00"/>
    <d v="2023-03-14T00:00:00"/>
    <n v="3"/>
    <x v="0"/>
    <x v="3"/>
    <x v="0"/>
    <s v="Q1"/>
    <x v="1"/>
    <x v="3"/>
    <x v="0"/>
    <x v="3"/>
    <n v="281.17"/>
    <x v="4"/>
    <n v="0.2"/>
    <n v="-6.3"/>
    <n v="-2.2406373368424794E-2"/>
    <s v="loss"/>
    <s v="low"/>
    <s v="Normal"/>
  </r>
  <r>
    <s v="ORD-1381"/>
    <d v="2023-06-06T00:00:00"/>
    <d v="2023-06-13T00:00:00"/>
    <n v="7"/>
    <x v="3"/>
    <x v="4"/>
    <x v="0"/>
    <s v="Q2"/>
    <x v="1"/>
    <x v="0"/>
    <x v="2"/>
    <x v="2"/>
    <n v="608.51"/>
    <x v="7"/>
    <n v="0"/>
    <n v="75.45"/>
    <n v="0.1239913888021561"/>
    <s v="profit"/>
    <s v="No Discount"/>
    <s v="slow"/>
  </r>
  <r>
    <s v="ORD-1382"/>
    <d v="2023-05-23T00:00:00"/>
    <d v="2023-05-26T00:00:00"/>
    <n v="3"/>
    <x v="1"/>
    <x v="0"/>
    <x v="0"/>
    <s v="Q2"/>
    <x v="0"/>
    <x v="0"/>
    <x v="2"/>
    <x v="7"/>
    <n v="581.83000000000004"/>
    <x v="7"/>
    <n v="0"/>
    <n v="67.5"/>
    <n v="0.11601326848048399"/>
    <s v="profit"/>
    <s v="No Discount"/>
    <s v="Normal"/>
  </r>
  <r>
    <s v="ORD-1383"/>
    <d v="2023-02-23T00:00:00"/>
    <d v="2023-02-24T00:00:00"/>
    <n v="1"/>
    <x v="0"/>
    <x v="1"/>
    <x v="0"/>
    <s v="Q1"/>
    <x v="0"/>
    <x v="0"/>
    <x v="0"/>
    <x v="0"/>
    <n v="395.48"/>
    <x v="8"/>
    <n v="0.1"/>
    <n v="9.5399999999999991"/>
    <n v="2.4122585212905834E-2"/>
    <s v="profit"/>
    <s v="low"/>
    <s v="faster"/>
  </r>
  <r>
    <s v="ORD-1384"/>
    <d v="2023-03-15T00:00:00"/>
    <d v="2023-03-19T00:00:00"/>
    <n v="4"/>
    <x v="3"/>
    <x v="3"/>
    <x v="0"/>
    <s v="Q1"/>
    <x v="0"/>
    <x v="2"/>
    <x v="0"/>
    <x v="3"/>
    <n v="366.79"/>
    <x v="6"/>
    <n v="0.1"/>
    <n v="31.66"/>
    <n v="8.6316420840262822E-2"/>
    <s v="profit"/>
    <s v="low"/>
    <s v="Normal"/>
  </r>
  <r>
    <s v="ORD-1385"/>
    <d v="2023-07-15T00:00:00"/>
    <d v="2023-07-16T00:00:00"/>
    <n v="1"/>
    <x v="3"/>
    <x v="5"/>
    <x v="0"/>
    <s v="Q3"/>
    <x v="1"/>
    <x v="2"/>
    <x v="1"/>
    <x v="4"/>
    <n v="101.14"/>
    <x v="9"/>
    <n v="0.3"/>
    <n v="13.74"/>
    <n v="0.13585129523432865"/>
    <s v="profit"/>
    <s v="medium"/>
    <s v="faster"/>
  </r>
  <r>
    <s v="ORD-1386"/>
    <d v="2023-04-22T00:00:00"/>
    <d v="2023-04-26T00:00:00"/>
    <n v="4"/>
    <x v="0"/>
    <x v="11"/>
    <x v="0"/>
    <s v="Q2"/>
    <x v="0"/>
    <x v="1"/>
    <x v="1"/>
    <x v="1"/>
    <n v="86.88"/>
    <x v="4"/>
    <n v="0.2"/>
    <n v="-8.48"/>
    <n v="-9.7605893186003698E-2"/>
    <s v="loss"/>
    <s v="low"/>
    <s v="Normal"/>
  </r>
  <r>
    <s v="ORD-1387"/>
    <d v="2023-05-30T00:00:00"/>
    <d v="2023-05-31T00:00:00"/>
    <n v="1"/>
    <x v="3"/>
    <x v="0"/>
    <x v="0"/>
    <s v="Q2"/>
    <x v="0"/>
    <x v="2"/>
    <x v="1"/>
    <x v="6"/>
    <n v="368.56"/>
    <x v="2"/>
    <n v="0"/>
    <n v="67.36"/>
    <n v="0.18276535706533537"/>
    <s v="profit"/>
    <s v="No Discount"/>
    <s v="faster"/>
  </r>
  <r>
    <s v="ORD-1388"/>
    <d v="2023-08-26T00:00:00"/>
    <d v="2023-08-28T00:00:00"/>
    <n v="2"/>
    <x v="0"/>
    <x v="10"/>
    <x v="0"/>
    <s v="Q3"/>
    <x v="0"/>
    <x v="1"/>
    <x v="0"/>
    <x v="5"/>
    <n v="618.20000000000005"/>
    <x v="0"/>
    <n v="0.1"/>
    <n v="13.32"/>
    <n v="2.1546425105143964E-2"/>
    <s v="profit"/>
    <s v="low"/>
    <s v="faster"/>
  </r>
  <r>
    <s v="ORD-1389"/>
    <d v="2023-05-25T00:00:00"/>
    <d v="2023-05-27T00:00:00"/>
    <n v="2"/>
    <x v="2"/>
    <x v="0"/>
    <x v="0"/>
    <s v="Q2"/>
    <x v="1"/>
    <x v="1"/>
    <x v="1"/>
    <x v="6"/>
    <n v="670.4"/>
    <x v="8"/>
    <n v="0.1"/>
    <n v="-10.55"/>
    <n v="-1.5736873508353223E-2"/>
    <s v="loss"/>
    <s v="low"/>
    <s v="faster"/>
  </r>
  <r>
    <s v="ORD-1390"/>
    <d v="2023-06-28T00:00:00"/>
    <d v="2023-07-02T00:00:00"/>
    <n v="4"/>
    <x v="1"/>
    <x v="4"/>
    <x v="0"/>
    <s v="Q2"/>
    <x v="1"/>
    <x v="3"/>
    <x v="2"/>
    <x v="7"/>
    <n v="494.08"/>
    <x v="4"/>
    <n v="0.1"/>
    <n v="-17.82"/>
    <n v="-3.606703367875648E-2"/>
    <s v="loss"/>
    <s v="low"/>
    <s v="Normal"/>
  </r>
  <r>
    <s v="ORD-1391"/>
    <d v="2023-04-19T00:00:00"/>
    <d v="2023-04-21T00:00:00"/>
    <n v="2"/>
    <x v="3"/>
    <x v="11"/>
    <x v="0"/>
    <s v="Q2"/>
    <x v="0"/>
    <x v="0"/>
    <x v="0"/>
    <x v="3"/>
    <n v="277.02"/>
    <x v="3"/>
    <n v="0.2"/>
    <n v="11.21"/>
    <n v="4.0466392318244178E-2"/>
    <s v="profit"/>
    <s v="low"/>
    <s v="faster"/>
  </r>
  <r>
    <s v="ORD-1392"/>
    <d v="2023-02-24T00:00:00"/>
    <d v="2023-02-28T00:00:00"/>
    <n v="4"/>
    <x v="3"/>
    <x v="1"/>
    <x v="0"/>
    <s v="Q1"/>
    <x v="2"/>
    <x v="1"/>
    <x v="2"/>
    <x v="7"/>
    <n v="849.48"/>
    <x v="8"/>
    <n v="0.2"/>
    <n v="-63.17"/>
    <n v="-7.4363139803173703E-2"/>
    <s v="loss"/>
    <s v="low"/>
    <s v="Normal"/>
  </r>
  <r>
    <s v="ORD-1393"/>
    <d v="2023-09-30T00:00:00"/>
    <d v="2023-10-07T00:00:00"/>
    <n v="7"/>
    <x v="3"/>
    <x v="7"/>
    <x v="0"/>
    <s v="Q3"/>
    <x v="0"/>
    <x v="3"/>
    <x v="0"/>
    <x v="3"/>
    <n v="347.56"/>
    <x v="0"/>
    <n v="0.1"/>
    <n v="13.2"/>
    <n v="3.7979053976291859E-2"/>
    <s v="profit"/>
    <s v="low"/>
    <s v="slow"/>
  </r>
  <r>
    <s v="ORD-1394"/>
    <d v="2023-07-21T00:00:00"/>
    <d v="2023-07-25T00:00:00"/>
    <n v="4"/>
    <x v="1"/>
    <x v="5"/>
    <x v="0"/>
    <s v="Q3"/>
    <x v="2"/>
    <x v="3"/>
    <x v="2"/>
    <x v="8"/>
    <n v="357.5"/>
    <x v="4"/>
    <n v="0.3"/>
    <n v="-40.53"/>
    <n v="-0.11337062937062937"/>
    <s v="loss"/>
    <s v="medium"/>
    <s v="Normal"/>
  </r>
  <r>
    <s v="ORD-1395"/>
    <d v="2023-07-29T00:00:00"/>
    <d v="2023-08-02T00:00:00"/>
    <n v="4"/>
    <x v="0"/>
    <x v="5"/>
    <x v="0"/>
    <s v="Q3"/>
    <x v="0"/>
    <x v="0"/>
    <x v="2"/>
    <x v="7"/>
    <n v="505.58"/>
    <x v="1"/>
    <n v="0.2"/>
    <n v="-28.68"/>
    <n v="-5.67269274892203E-2"/>
    <s v="loss"/>
    <s v="low"/>
    <s v="Normal"/>
  </r>
  <r>
    <s v="ORD-1396"/>
    <d v="2023-12-20T00:00:00"/>
    <d v="2023-12-24T00:00:00"/>
    <n v="4"/>
    <x v="2"/>
    <x v="9"/>
    <x v="0"/>
    <s v="Q4"/>
    <x v="1"/>
    <x v="1"/>
    <x v="2"/>
    <x v="2"/>
    <n v="470.49"/>
    <x v="2"/>
    <n v="0.2"/>
    <n v="-9.7100000000000009"/>
    <n v="-2.0638058194648135E-2"/>
    <s v="loss"/>
    <s v="low"/>
    <s v="Normal"/>
  </r>
  <r>
    <s v="ORD-1397"/>
    <d v="2023-07-29T00:00:00"/>
    <d v="2023-07-30T00:00:00"/>
    <n v="1"/>
    <x v="1"/>
    <x v="5"/>
    <x v="0"/>
    <s v="Q3"/>
    <x v="1"/>
    <x v="1"/>
    <x v="1"/>
    <x v="4"/>
    <n v="803.43"/>
    <x v="4"/>
    <n v="0.3"/>
    <n v="-112.95"/>
    <n v="-0.14058474291475301"/>
    <s v="loss"/>
    <s v="medium"/>
    <s v="faster"/>
  </r>
  <r>
    <s v="ORD-1398"/>
    <d v="2023-05-02T00:00:00"/>
    <d v="2023-05-06T00:00:00"/>
    <n v="4"/>
    <x v="3"/>
    <x v="0"/>
    <x v="0"/>
    <s v="Q2"/>
    <x v="2"/>
    <x v="1"/>
    <x v="1"/>
    <x v="4"/>
    <n v="25.15"/>
    <x v="6"/>
    <n v="0.3"/>
    <n v="0.24"/>
    <n v="9.5427435387673964E-3"/>
    <s v="profit"/>
    <s v="medium"/>
    <s v="Normal"/>
  </r>
  <r>
    <s v="ORD-1399"/>
    <d v="2023-10-25T00:00:00"/>
    <d v="2023-10-26T00:00:00"/>
    <n v="1"/>
    <x v="0"/>
    <x v="2"/>
    <x v="0"/>
    <s v="Q4"/>
    <x v="1"/>
    <x v="0"/>
    <x v="0"/>
    <x v="5"/>
    <n v="109.75"/>
    <x v="4"/>
    <n v="0.2"/>
    <n v="36.369999999999997"/>
    <n v="0.33138952164009111"/>
    <s v="profit"/>
    <s v="low"/>
    <s v="faster"/>
  </r>
  <r>
    <s v="ORD-1400"/>
    <d v="2023-03-28T00:00:00"/>
    <d v="2023-04-02T00:00:00"/>
    <n v="5"/>
    <x v="3"/>
    <x v="3"/>
    <x v="0"/>
    <s v="Q1"/>
    <x v="1"/>
    <x v="3"/>
    <x v="2"/>
    <x v="2"/>
    <n v="794.21"/>
    <x v="1"/>
    <n v="0"/>
    <n v="90.64"/>
    <n v="0.11412598682967981"/>
    <s v="profit"/>
    <s v="No Discount"/>
    <s v="slow"/>
  </r>
  <r>
    <s v="ORD-1401"/>
    <d v="2023-06-24T00:00:00"/>
    <d v="2023-06-27T00:00:00"/>
    <n v="3"/>
    <x v="0"/>
    <x v="4"/>
    <x v="0"/>
    <s v="Q2"/>
    <x v="0"/>
    <x v="2"/>
    <x v="1"/>
    <x v="1"/>
    <n v="201.43"/>
    <x v="2"/>
    <n v="0.1"/>
    <n v="47.07"/>
    <n v="0.23367919376458321"/>
    <s v="profit"/>
    <s v="low"/>
    <s v="Normal"/>
  </r>
  <r>
    <s v="ORD-1402"/>
    <d v="2023-10-05T00:00:00"/>
    <d v="2023-10-07T00:00:00"/>
    <n v="2"/>
    <x v="2"/>
    <x v="2"/>
    <x v="0"/>
    <s v="Q4"/>
    <x v="0"/>
    <x v="2"/>
    <x v="0"/>
    <x v="3"/>
    <n v="763.22"/>
    <x v="0"/>
    <n v="0.2"/>
    <n v="-39.86"/>
    <n v="-5.2226094704017186E-2"/>
    <s v="loss"/>
    <s v="low"/>
    <s v="faster"/>
  </r>
  <r>
    <s v="ORD-1403"/>
    <d v="2023-07-24T00:00:00"/>
    <d v="2023-07-27T00:00:00"/>
    <n v="3"/>
    <x v="0"/>
    <x v="5"/>
    <x v="0"/>
    <s v="Q3"/>
    <x v="1"/>
    <x v="1"/>
    <x v="0"/>
    <x v="5"/>
    <n v="665.61"/>
    <x v="6"/>
    <n v="0.1"/>
    <n v="24.61"/>
    <n v="3.6973603161010199E-2"/>
    <s v="profit"/>
    <s v="low"/>
    <s v="Normal"/>
  </r>
  <r>
    <s v="ORD-1404"/>
    <d v="2023-07-15T00:00:00"/>
    <d v="2023-07-21T00:00:00"/>
    <n v="6"/>
    <x v="0"/>
    <x v="5"/>
    <x v="0"/>
    <s v="Q3"/>
    <x v="0"/>
    <x v="0"/>
    <x v="0"/>
    <x v="0"/>
    <n v="980.97"/>
    <x v="7"/>
    <n v="0.1"/>
    <n v="14.26"/>
    <n v="1.4536632109034935E-2"/>
    <s v="profit"/>
    <s v="low"/>
    <s v="slow"/>
  </r>
  <r>
    <s v="ORD-1405"/>
    <d v="2023-06-06T00:00:00"/>
    <d v="2023-06-10T00:00:00"/>
    <n v="4"/>
    <x v="1"/>
    <x v="4"/>
    <x v="0"/>
    <s v="Q2"/>
    <x v="2"/>
    <x v="3"/>
    <x v="0"/>
    <x v="0"/>
    <n v="236.79"/>
    <x v="0"/>
    <n v="0.1"/>
    <n v="-16.39"/>
    <n v="-6.9217450061235697E-2"/>
    <s v="loss"/>
    <s v="low"/>
    <s v="Normal"/>
  </r>
  <r>
    <s v="ORD-1406"/>
    <d v="2023-08-13T00:00:00"/>
    <d v="2023-08-14T00:00:00"/>
    <n v="1"/>
    <x v="0"/>
    <x v="10"/>
    <x v="0"/>
    <s v="Q3"/>
    <x v="0"/>
    <x v="1"/>
    <x v="1"/>
    <x v="1"/>
    <n v="676.52"/>
    <x v="1"/>
    <n v="0.3"/>
    <n v="-105.91"/>
    <n v="-0.15655117365340271"/>
    <s v="loss"/>
    <s v="medium"/>
    <s v="faster"/>
  </r>
  <r>
    <s v="ORD-1407"/>
    <d v="2023-04-02T00:00:00"/>
    <d v="2023-04-09T00:00:00"/>
    <n v="7"/>
    <x v="3"/>
    <x v="11"/>
    <x v="0"/>
    <s v="Q2"/>
    <x v="1"/>
    <x v="0"/>
    <x v="0"/>
    <x v="0"/>
    <n v="926.74"/>
    <x v="7"/>
    <n v="0.2"/>
    <n v="-73.77"/>
    <n v="-7.9601614260741957E-2"/>
    <s v="loss"/>
    <s v="low"/>
    <s v="slow"/>
  </r>
  <r>
    <s v="ORD-1408"/>
    <d v="2023-09-01T00:00:00"/>
    <d v="2023-09-05T00:00:00"/>
    <n v="4"/>
    <x v="0"/>
    <x v="7"/>
    <x v="0"/>
    <s v="Q3"/>
    <x v="1"/>
    <x v="2"/>
    <x v="0"/>
    <x v="0"/>
    <n v="483.75"/>
    <x v="1"/>
    <n v="0.2"/>
    <n v="-66"/>
    <n v="-0.13643410852713178"/>
    <s v="loss"/>
    <s v="low"/>
    <s v="Normal"/>
  </r>
  <r>
    <s v="ORD-1409"/>
    <d v="2023-09-15T00:00:00"/>
    <d v="2023-09-20T00:00:00"/>
    <n v="5"/>
    <x v="0"/>
    <x v="7"/>
    <x v="0"/>
    <s v="Q3"/>
    <x v="2"/>
    <x v="1"/>
    <x v="2"/>
    <x v="7"/>
    <n v="703.47"/>
    <x v="1"/>
    <n v="0"/>
    <n v="63.83"/>
    <n v="9.0735923351386694E-2"/>
    <s v="profit"/>
    <s v="No Discount"/>
    <s v="slow"/>
  </r>
  <r>
    <s v="ORD-1410"/>
    <d v="2023-05-27T00:00:00"/>
    <d v="2023-06-01T00:00:00"/>
    <n v="5"/>
    <x v="2"/>
    <x v="0"/>
    <x v="0"/>
    <s v="Q2"/>
    <x v="0"/>
    <x v="2"/>
    <x v="2"/>
    <x v="8"/>
    <n v="132.97999999999999"/>
    <x v="6"/>
    <n v="0.2"/>
    <n v="32.799999999999997"/>
    <n v="0.24665363212513158"/>
    <s v="profit"/>
    <s v="low"/>
    <s v="slow"/>
  </r>
  <r>
    <s v="ORD-1411"/>
    <d v="2023-01-15T00:00:00"/>
    <d v="2023-01-21T00:00:00"/>
    <n v="6"/>
    <x v="1"/>
    <x v="8"/>
    <x v="0"/>
    <s v="Q1"/>
    <x v="0"/>
    <x v="0"/>
    <x v="2"/>
    <x v="7"/>
    <n v="484.73"/>
    <x v="3"/>
    <n v="0.1"/>
    <n v="-16.16"/>
    <n v="-3.3338147009675488E-2"/>
    <s v="loss"/>
    <s v="low"/>
    <s v="slow"/>
  </r>
  <r>
    <s v="ORD-1412"/>
    <d v="2023-05-25T00:00:00"/>
    <d v="2023-05-30T00:00:00"/>
    <n v="5"/>
    <x v="1"/>
    <x v="0"/>
    <x v="0"/>
    <s v="Q2"/>
    <x v="0"/>
    <x v="1"/>
    <x v="0"/>
    <x v="3"/>
    <n v="466.04"/>
    <x v="6"/>
    <n v="0.2"/>
    <n v="-8.58"/>
    <n v="-1.8410436872371469E-2"/>
    <s v="loss"/>
    <s v="low"/>
    <s v="slow"/>
  </r>
  <r>
    <s v="ORD-1413"/>
    <d v="2023-05-08T00:00:00"/>
    <d v="2023-05-10T00:00:00"/>
    <n v="2"/>
    <x v="3"/>
    <x v="0"/>
    <x v="0"/>
    <s v="Q2"/>
    <x v="1"/>
    <x v="1"/>
    <x v="0"/>
    <x v="5"/>
    <n v="56.27"/>
    <x v="5"/>
    <n v="0.2"/>
    <n v="-0.1"/>
    <n v="-1.7771459036786919E-3"/>
    <s v="loss"/>
    <s v="low"/>
    <s v="faster"/>
  </r>
  <r>
    <s v="ORD-1414"/>
    <d v="2023-11-05T00:00:00"/>
    <d v="2023-11-08T00:00:00"/>
    <n v="3"/>
    <x v="3"/>
    <x v="6"/>
    <x v="0"/>
    <s v="Q4"/>
    <x v="1"/>
    <x v="1"/>
    <x v="0"/>
    <x v="0"/>
    <n v="569.46"/>
    <x v="6"/>
    <n v="0"/>
    <n v="42.33"/>
    <n v="7.4333579180276041E-2"/>
    <s v="profit"/>
    <s v="No Discount"/>
    <s v="Normal"/>
  </r>
  <r>
    <s v="ORD-1415"/>
    <d v="2023-05-03T00:00:00"/>
    <d v="2023-05-04T00:00:00"/>
    <n v="1"/>
    <x v="2"/>
    <x v="0"/>
    <x v="0"/>
    <s v="Q2"/>
    <x v="1"/>
    <x v="0"/>
    <x v="2"/>
    <x v="2"/>
    <n v="702.36"/>
    <x v="8"/>
    <n v="0.3"/>
    <n v="-129.6"/>
    <n v="-0.18452075858534084"/>
    <s v="loss"/>
    <s v="medium"/>
    <s v="faster"/>
  </r>
  <r>
    <s v="ORD-1416"/>
    <d v="2023-08-20T00:00:00"/>
    <d v="2023-08-27T00:00:00"/>
    <n v="7"/>
    <x v="3"/>
    <x v="10"/>
    <x v="0"/>
    <s v="Q3"/>
    <x v="1"/>
    <x v="0"/>
    <x v="0"/>
    <x v="3"/>
    <n v="416.4"/>
    <x v="4"/>
    <n v="0.2"/>
    <n v="-39.57"/>
    <n v="-9.5028818443804036E-2"/>
    <s v="loss"/>
    <s v="low"/>
    <s v="slow"/>
  </r>
  <r>
    <s v="ORD-1417"/>
    <d v="2023-08-14T00:00:00"/>
    <d v="2023-08-20T00:00:00"/>
    <n v="6"/>
    <x v="2"/>
    <x v="10"/>
    <x v="0"/>
    <s v="Q3"/>
    <x v="0"/>
    <x v="1"/>
    <x v="2"/>
    <x v="8"/>
    <n v="548.70000000000005"/>
    <x v="8"/>
    <n v="0"/>
    <n v="81.19"/>
    <n v="0.14796792418443591"/>
    <s v="profit"/>
    <s v="No Discount"/>
    <s v="slow"/>
  </r>
  <r>
    <s v="ORD-1418"/>
    <d v="2023-03-29T00:00:00"/>
    <d v="2023-04-03T00:00:00"/>
    <n v="5"/>
    <x v="0"/>
    <x v="3"/>
    <x v="0"/>
    <s v="Q1"/>
    <x v="1"/>
    <x v="3"/>
    <x v="0"/>
    <x v="0"/>
    <n v="743.1"/>
    <x v="0"/>
    <n v="0"/>
    <n v="116.33"/>
    <n v="0.15654689812945766"/>
    <s v="profit"/>
    <s v="No Discount"/>
    <s v="slow"/>
  </r>
  <r>
    <s v="ORD-1419"/>
    <d v="2023-10-05T00:00:00"/>
    <d v="2023-10-09T00:00:00"/>
    <n v="4"/>
    <x v="3"/>
    <x v="2"/>
    <x v="0"/>
    <s v="Q4"/>
    <x v="2"/>
    <x v="0"/>
    <x v="1"/>
    <x v="1"/>
    <n v="623.54999999999995"/>
    <x v="8"/>
    <n v="0.1"/>
    <n v="9.23"/>
    <n v="1.4802341432122525E-2"/>
    <s v="profit"/>
    <s v="low"/>
    <s v="Normal"/>
  </r>
  <r>
    <s v="ORD-1420"/>
    <d v="2023-11-25T00:00:00"/>
    <d v="2023-12-02T00:00:00"/>
    <n v="7"/>
    <x v="3"/>
    <x v="6"/>
    <x v="0"/>
    <s v="Q4"/>
    <x v="1"/>
    <x v="2"/>
    <x v="2"/>
    <x v="2"/>
    <n v="472.7"/>
    <x v="8"/>
    <n v="0.1"/>
    <n v="-18.510000000000002"/>
    <n v="-3.9158028347789302E-2"/>
    <s v="loss"/>
    <s v="low"/>
    <s v="slow"/>
  </r>
  <r>
    <s v="ORD-1421"/>
    <d v="2023-08-11T00:00:00"/>
    <d v="2023-08-16T00:00:00"/>
    <n v="5"/>
    <x v="3"/>
    <x v="10"/>
    <x v="0"/>
    <s v="Q3"/>
    <x v="2"/>
    <x v="3"/>
    <x v="1"/>
    <x v="1"/>
    <n v="877.21"/>
    <x v="3"/>
    <n v="0"/>
    <n v="94.6"/>
    <n v="0.10784190786698737"/>
    <s v="profit"/>
    <s v="No Discount"/>
    <s v="slow"/>
  </r>
  <r>
    <s v="ORD-1422"/>
    <d v="2023-07-22T00:00:00"/>
    <d v="2023-07-24T00:00:00"/>
    <n v="2"/>
    <x v="3"/>
    <x v="5"/>
    <x v="0"/>
    <s v="Q3"/>
    <x v="0"/>
    <x v="3"/>
    <x v="0"/>
    <x v="0"/>
    <n v="933.94"/>
    <x v="8"/>
    <n v="0.2"/>
    <n v="-43.54"/>
    <n v="-4.661969719682206E-2"/>
    <s v="loss"/>
    <s v="low"/>
    <s v="faster"/>
  </r>
  <r>
    <s v="ORD-1423"/>
    <d v="2023-10-25T00:00:00"/>
    <d v="2023-10-26T00:00:00"/>
    <n v="1"/>
    <x v="1"/>
    <x v="2"/>
    <x v="0"/>
    <s v="Q4"/>
    <x v="0"/>
    <x v="1"/>
    <x v="1"/>
    <x v="1"/>
    <n v="363.7"/>
    <x v="1"/>
    <n v="0.1"/>
    <n v="-13.8"/>
    <n v="-3.7943359912015404E-2"/>
    <s v="loss"/>
    <s v="low"/>
    <s v="faster"/>
  </r>
  <r>
    <s v="ORD-1424"/>
    <d v="2023-09-13T00:00:00"/>
    <d v="2023-09-18T00:00:00"/>
    <n v="5"/>
    <x v="2"/>
    <x v="7"/>
    <x v="0"/>
    <s v="Q3"/>
    <x v="0"/>
    <x v="1"/>
    <x v="2"/>
    <x v="7"/>
    <n v="56.84"/>
    <x v="2"/>
    <n v="0.3"/>
    <n v="12.56"/>
    <n v="0.22097114707952145"/>
    <s v="profit"/>
    <s v="medium"/>
    <s v="slow"/>
  </r>
  <r>
    <s v="ORD-1425"/>
    <d v="2023-05-20T00:00:00"/>
    <d v="2023-05-22T00:00:00"/>
    <n v="2"/>
    <x v="1"/>
    <x v="0"/>
    <x v="0"/>
    <s v="Q2"/>
    <x v="2"/>
    <x v="0"/>
    <x v="1"/>
    <x v="1"/>
    <n v="876.2"/>
    <x v="5"/>
    <n v="0.2"/>
    <n v="-79.739999999999995"/>
    <n v="-9.1006619493266369E-2"/>
    <s v="loss"/>
    <s v="low"/>
    <s v="faster"/>
  </r>
  <r>
    <s v="ORD-1426"/>
    <d v="2023-02-27T00:00:00"/>
    <d v="2023-03-06T00:00:00"/>
    <n v="7"/>
    <x v="3"/>
    <x v="1"/>
    <x v="0"/>
    <s v="Q1"/>
    <x v="2"/>
    <x v="0"/>
    <x v="0"/>
    <x v="0"/>
    <n v="109.87"/>
    <x v="4"/>
    <n v="0.2"/>
    <n v="-1.49"/>
    <n v="-1.3561481751160462E-2"/>
    <s v="loss"/>
    <s v="low"/>
    <s v="slow"/>
  </r>
  <r>
    <s v="ORD-1427"/>
    <d v="2023-03-23T00:00:00"/>
    <d v="2023-03-30T00:00:00"/>
    <n v="7"/>
    <x v="1"/>
    <x v="3"/>
    <x v="0"/>
    <s v="Q1"/>
    <x v="0"/>
    <x v="2"/>
    <x v="2"/>
    <x v="7"/>
    <n v="742.83"/>
    <x v="4"/>
    <n v="0.1"/>
    <n v="-19.77"/>
    <n v="-2.6614433988934209E-2"/>
    <s v="loss"/>
    <s v="low"/>
    <s v="slow"/>
  </r>
  <r>
    <s v="ORD-1428"/>
    <d v="2023-10-14T00:00:00"/>
    <d v="2023-10-19T00:00:00"/>
    <n v="5"/>
    <x v="1"/>
    <x v="2"/>
    <x v="0"/>
    <s v="Q4"/>
    <x v="2"/>
    <x v="0"/>
    <x v="2"/>
    <x v="2"/>
    <n v="477.96"/>
    <x v="5"/>
    <n v="0.3"/>
    <n v="-95.49"/>
    <n v="-0.19978659302033644"/>
    <s v="loss"/>
    <s v="medium"/>
    <s v="slow"/>
  </r>
  <r>
    <s v="ORD-1429"/>
    <d v="2023-04-18T00:00:00"/>
    <d v="2023-04-24T00:00:00"/>
    <n v="6"/>
    <x v="0"/>
    <x v="11"/>
    <x v="0"/>
    <s v="Q2"/>
    <x v="0"/>
    <x v="1"/>
    <x v="2"/>
    <x v="7"/>
    <n v="310.38"/>
    <x v="6"/>
    <n v="0.1"/>
    <n v="21.24"/>
    <n v="6.8432244345640825E-2"/>
    <s v="profit"/>
    <s v="low"/>
    <s v="slow"/>
  </r>
  <r>
    <s v="ORD-1430"/>
    <d v="2023-06-07T00:00:00"/>
    <d v="2023-06-10T00:00:00"/>
    <n v="3"/>
    <x v="1"/>
    <x v="4"/>
    <x v="0"/>
    <s v="Q2"/>
    <x v="2"/>
    <x v="1"/>
    <x v="0"/>
    <x v="0"/>
    <n v="291.72000000000003"/>
    <x v="0"/>
    <n v="0"/>
    <n v="78.31"/>
    <n v="0.26844234197175371"/>
    <s v="profit"/>
    <s v="No Discount"/>
    <s v="Normal"/>
  </r>
  <r>
    <s v="ORD-1431"/>
    <d v="2023-09-16T00:00:00"/>
    <d v="2023-09-17T00:00:00"/>
    <n v="1"/>
    <x v="3"/>
    <x v="7"/>
    <x v="0"/>
    <s v="Q3"/>
    <x v="1"/>
    <x v="3"/>
    <x v="1"/>
    <x v="1"/>
    <n v="439.22"/>
    <x v="4"/>
    <n v="0"/>
    <n v="51.34"/>
    <n v="0.11688903055416421"/>
    <s v="profit"/>
    <s v="No Discount"/>
    <s v="faster"/>
  </r>
  <r>
    <s v="ORD-1432"/>
    <d v="2023-02-11T00:00:00"/>
    <d v="2023-02-13T00:00:00"/>
    <n v="2"/>
    <x v="0"/>
    <x v="1"/>
    <x v="0"/>
    <s v="Q1"/>
    <x v="2"/>
    <x v="0"/>
    <x v="1"/>
    <x v="6"/>
    <n v="141.94999999999999"/>
    <x v="9"/>
    <n v="0.2"/>
    <n v="32.299999999999997"/>
    <n v="0.22754491017964071"/>
    <s v="profit"/>
    <s v="low"/>
    <s v="faster"/>
  </r>
  <r>
    <s v="ORD-1433"/>
    <d v="2023-10-17T00:00:00"/>
    <d v="2023-10-20T00:00:00"/>
    <n v="3"/>
    <x v="2"/>
    <x v="2"/>
    <x v="0"/>
    <s v="Q4"/>
    <x v="0"/>
    <x v="1"/>
    <x v="1"/>
    <x v="4"/>
    <n v="790.62"/>
    <x v="5"/>
    <n v="0.2"/>
    <n v="-57.86"/>
    <n v="-7.3183071513495734E-2"/>
    <s v="loss"/>
    <s v="low"/>
    <s v="Normal"/>
  </r>
  <r>
    <s v="ORD-1434"/>
    <d v="2023-01-27T00:00:00"/>
    <d v="2023-01-29T00:00:00"/>
    <n v="2"/>
    <x v="2"/>
    <x v="8"/>
    <x v="0"/>
    <s v="Q1"/>
    <x v="1"/>
    <x v="3"/>
    <x v="1"/>
    <x v="6"/>
    <n v="982.68"/>
    <x v="7"/>
    <n v="0.2"/>
    <n v="-52.14"/>
    <n v="-5.3058981560630117E-2"/>
    <s v="loss"/>
    <s v="low"/>
    <s v="faster"/>
  </r>
  <r>
    <s v="ORD-1435"/>
    <d v="2023-04-10T00:00:00"/>
    <d v="2023-04-13T00:00:00"/>
    <n v="3"/>
    <x v="0"/>
    <x v="11"/>
    <x v="0"/>
    <s v="Q2"/>
    <x v="0"/>
    <x v="0"/>
    <x v="0"/>
    <x v="0"/>
    <n v="478.05"/>
    <x v="0"/>
    <n v="0"/>
    <n v="97.05"/>
    <n v="0.20301223721368056"/>
    <s v="profit"/>
    <s v="No Discount"/>
    <s v="Normal"/>
  </r>
  <r>
    <s v="ORD-1436"/>
    <d v="2023-04-08T00:00:00"/>
    <d v="2023-04-14T00:00:00"/>
    <n v="6"/>
    <x v="3"/>
    <x v="11"/>
    <x v="0"/>
    <s v="Q2"/>
    <x v="1"/>
    <x v="0"/>
    <x v="0"/>
    <x v="0"/>
    <n v="748.49"/>
    <x v="5"/>
    <n v="0.3"/>
    <n v="-153.47999999999999"/>
    <n v="-0.20505283971729749"/>
    <s v="loss"/>
    <s v="medium"/>
    <s v="slow"/>
  </r>
  <r>
    <s v="ORD-1437"/>
    <d v="2023-08-17T00:00:00"/>
    <d v="2023-08-21T00:00:00"/>
    <n v="4"/>
    <x v="1"/>
    <x v="10"/>
    <x v="0"/>
    <s v="Q3"/>
    <x v="1"/>
    <x v="1"/>
    <x v="2"/>
    <x v="8"/>
    <n v="943.88"/>
    <x v="1"/>
    <n v="0.2"/>
    <n v="-98.25"/>
    <n v="-0.10409162181633258"/>
    <s v="loss"/>
    <s v="low"/>
    <s v="Normal"/>
  </r>
  <r>
    <s v="ORD-1438"/>
    <d v="2023-02-23T00:00:00"/>
    <d v="2023-02-24T00:00:00"/>
    <n v="1"/>
    <x v="3"/>
    <x v="1"/>
    <x v="0"/>
    <s v="Q1"/>
    <x v="2"/>
    <x v="0"/>
    <x v="2"/>
    <x v="7"/>
    <n v="834.03"/>
    <x v="1"/>
    <n v="0.1"/>
    <n v="-3.85"/>
    <n v="-4.6161409062024147E-3"/>
    <s v="loss"/>
    <s v="low"/>
    <s v="faster"/>
  </r>
  <r>
    <s v="ORD-1439"/>
    <d v="2023-02-17T00:00:00"/>
    <d v="2023-02-19T00:00:00"/>
    <n v="2"/>
    <x v="2"/>
    <x v="1"/>
    <x v="0"/>
    <s v="Q1"/>
    <x v="1"/>
    <x v="2"/>
    <x v="0"/>
    <x v="3"/>
    <n v="193"/>
    <x v="6"/>
    <n v="0.1"/>
    <n v="-17.43"/>
    <n v="-9.0310880829015547E-2"/>
    <s v="loss"/>
    <s v="low"/>
    <s v="faster"/>
  </r>
  <r>
    <s v="ORD-1440"/>
    <d v="2023-07-27T00:00:00"/>
    <d v="2023-07-31T00:00:00"/>
    <n v="4"/>
    <x v="3"/>
    <x v="5"/>
    <x v="0"/>
    <s v="Q3"/>
    <x v="2"/>
    <x v="3"/>
    <x v="2"/>
    <x v="2"/>
    <n v="958.12"/>
    <x v="5"/>
    <n v="0.3"/>
    <n v="-187.12"/>
    <n v="-0.19529912745793845"/>
    <s v="loss"/>
    <s v="medium"/>
    <s v="Normal"/>
  </r>
  <r>
    <s v="ORD-1441"/>
    <d v="2023-05-13T00:00:00"/>
    <d v="2023-05-19T00:00:00"/>
    <n v="6"/>
    <x v="2"/>
    <x v="0"/>
    <x v="0"/>
    <s v="Q2"/>
    <x v="0"/>
    <x v="2"/>
    <x v="2"/>
    <x v="7"/>
    <n v="76.69"/>
    <x v="6"/>
    <n v="0.2"/>
    <n v="-12.53"/>
    <n v="-0.16338505672186726"/>
    <s v="loss"/>
    <s v="low"/>
    <s v="slow"/>
  </r>
  <r>
    <s v="ORD-1442"/>
    <d v="2023-10-27T00:00:00"/>
    <d v="2023-11-01T00:00:00"/>
    <n v="5"/>
    <x v="2"/>
    <x v="2"/>
    <x v="0"/>
    <s v="Q4"/>
    <x v="0"/>
    <x v="3"/>
    <x v="2"/>
    <x v="2"/>
    <n v="527.9"/>
    <x v="5"/>
    <n v="0.3"/>
    <n v="-55.94"/>
    <n v="-0.10596703921197197"/>
    <s v="loss"/>
    <s v="medium"/>
    <s v="slow"/>
  </r>
  <r>
    <s v="ORD-1443"/>
    <d v="2023-09-20T00:00:00"/>
    <d v="2023-09-24T00:00:00"/>
    <n v="4"/>
    <x v="1"/>
    <x v="7"/>
    <x v="0"/>
    <s v="Q3"/>
    <x v="0"/>
    <x v="3"/>
    <x v="1"/>
    <x v="6"/>
    <n v="190.42"/>
    <x v="2"/>
    <n v="0.1"/>
    <n v="16.07"/>
    <n v="8.4392395756748242E-2"/>
    <s v="profit"/>
    <s v="low"/>
    <s v="Normal"/>
  </r>
  <r>
    <s v="ORD-1444"/>
    <d v="2023-04-01T00:00:00"/>
    <d v="2023-04-08T00:00:00"/>
    <n v="7"/>
    <x v="1"/>
    <x v="11"/>
    <x v="0"/>
    <s v="Q2"/>
    <x v="2"/>
    <x v="1"/>
    <x v="2"/>
    <x v="2"/>
    <n v="501.36"/>
    <x v="6"/>
    <n v="0"/>
    <n v="40.909999999999997"/>
    <n v="8.1598053295037484E-2"/>
    <s v="profit"/>
    <s v="No Discount"/>
    <s v="slow"/>
  </r>
  <r>
    <s v="ORD-1445"/>
    <d v="2023-06-08T00:00:00"/>
    <d v="2023-06-10T00:00:00"/>
    <n v="2"/>
    <x v="0"/>
    <x v="4"/>
    <x v="0"/>
    <s v="Q2"/>
    <x v="0"/>
    <x v="1"/>
    <x v="0"/>
    <x v="5"/>
    <n v="819.52"/>
    <x v="6"/>
    <n v="0.1"/>
    <n v="23.61"/>
    <n v="2.8809547051932838E-2"/>
    <s v="profit"/>
    <s v="low"/>
    <s v="faster"/>
  </r>
  <r>
    <s v="ORD-1446"/>
    <d v="2023-01-14T00:00:00"/>
    <d v="2023-01-19T00:00:00"/>
    <n v="5"/>
    <x v="1"/>
    <x v="8"/>
    <x v="0"/>
    <s v="Q1"/>
    <x v="1"/>
    <x v="3"/>
    <x v="0"/>
    <x v="5"/>
    <n v="752.91"/>
    <x v="0"/>
    <n v="0"/>
    <n v="96.8"/>
    <n v="0.12856782351144228"/>
    <s v="profit"/>
    <s v="No Discount"/>
    <s v="slow"/>
  </r>
  <r>
    <s v="ORD-1447"/>
    <d v="2023-05-31T00:00:00"/>
    <d v="2023-06-06T00:00:00"/>
    <n v="6"/>
    <x v="0"/>
    <x v="0"/>
    <x v="0"/>
    <s v="Q2"/>
    <x v="1"/>
    <x v="1"/>
    <x v="1"/>
    <x v="6"/>
    <n v="588.48"/>
    <x v="8"/>
    <n v="0.1"/>
    <n v="12.02"/>
    <n v="2.0425502990755844E-2"/>
    <s v="profit"/>
    <s v="low"/>
    <s v="slow"/>
  </r>
  <r>
    <s v="ORD-1448"/>
    <d v="2023-03-18T00:00:00"/>
    <d v="2023-03-23T00:00:00"/>
    <n v="5"/>
    <x v="3"/>
    <x v="3"/>
    <x v="0"/>
    <s v="Q1"/>
    <x v="1"/>
    <x v="1"/>
    <x v="1"/>
    <x v="4"/>
    <n v="403.35"/>
    <x v="8"/>
    <n v="0.2"/>
    <n v="-51.27"/>
    <n v="-0.12711044998140572"/>
    <s v="loss"/>
    <s v="low"/>
    <s v="slow"/>
  </r>
  <r>
    <s v="ORD-1449"/>
    <d v="2023-01-16T00:00:00"/>
    <d v="2023-01-21T00:00:00"/>
    <n v="5"/>
    <x v="0"/>
    <x v="8"/>
    <x v="0"/>
    <s v="Q1"/>
    <x v="0"/>
    <x v="0"/>
    <x v="2"/>
    <x v="7"/>
    <n v="890.97"/>
    <x v="7"/>
    <n v="0"/>
    <n v="128.75"/>
    <n v="0.14450542666980931"/>
    <s v="profit"/>
    <s v="No Discount"/>
    <s v="slow"/>
  </r>
  <r>
    <s v="ORD-1450"/>
    <d v="2023-02-09T00:00:00"/>
    <d v="2023-02-13T00:00:00"/>
    <n v="4"/>
    <x v="2"/>
    <x v="1"/>
    <x v="0"/>
    <s v="Q1"/>
    <x v="1"/>
    <x v="2"/>
    <x v="0"/>
    <x v="0"/>
    <n v="54.71"/>
    <x v="0"/>
    <n v="0.2"/>
    <n v="20.399999999999999"/>
    <n v="0.37287515993419845"/>
    <s v="profit"/>
    <s v="low"/>
    <s v="Normal"/>
  </r>
  <r>
    <s v="ORD-1451"/>
    <d v="2023-02-05T00:00:00"/>
    <d v="2023-02-12T00:00:00"/>
    <n v="7"/>
    <x v="2"/>
    <x v="1"/>
    <x v="0"/>
    <s v="Q1"/>
    <x v="0"/>
    <x v="2"/>
    <x v="2"/>
    <x v="8"/>
    <n v="559.84"/>
    <x v="9"/>
    <n v="0.2"/>
    <n v="-56.29"/>
    <n v="-0.1005465847384967"/>
    <s v="loss"/>
    <s v="low"/>
    <s v="slow"/>
  </r>
  <r>
    <s v="ORD-1452"/>
    <d v="2023-12-11T00:00:00"/>
    <d v="2023-12-16T00:00:00"/>
    <n v="5"/>
    <x v="3"/>
    <x v="9"/>
    <x v="0"/>
    <s v="Q4"/>
    <x v="0"/>
    <x v="0"/>
    <x v="2"/>
    <x v="8"/>
    <n v="267.60000000000002"/>
    <x v="8"/>
    <n v="0.1"/>
    <n v="-1.82"/>
    <n v="-6.801195814648729E-3"/>
    <s v="loss"/>
    <s v="low"/>
    <s v="slow"/>
  </r>
  <r>
    <s v="ORD-1453"/>
    <d v="2023-11-03T00:00:00"/>
    <d v="2023-11-04T00:00:00"/>
    <n v="1"/>
    <x v="3"/>
    <x v="6"/>
    <x v="0"/>
    <s v="Q4"/>
    <x v="0"/>
    <x v="1"/>
    <x v="2"/>
    <x v="8"/>
    <n v="728.95"/>
    <x v="2"/>
    <n v="0.1"/>
    <n v="17.28"/>
    <n v="2.3705329583647714E-2"/>
    <s v="profit"/>
    <s v="low"/>
    <s v="faster"/>
  </r>
  <r>
    <s v="ORD-1454"/>
    <d v="2023-02-21T00:00:00"/>
    <d v="2023-02-27T00:00:00"/>
    <n v="6"/>
    <x v="1"/>
    <x v="1"/>
    <x v="0"/>
    <s v="Q1"/>
    <x v="2"/>
    <x v="0"/>
    <x v="1"/>
    <x v="6"/>
    <n v="962.88"/>
    <x v="2"/>
    <n v="0.3"/>
    <n v="-164.75"/>
    <n v="-0.1711012794948488"/>
    <s v="loss"/>
    <s v="medium"/>
    <s v="slow"/>
  </r>
  <r>
    <s v="ORD-1455"/>
    <d v="2023-10-04T00:00:00"/>
    <d v="2023-10-06T00:00:00"/>
    <n v="2"/>
    <x v="0"/>
    <x v="2"/>
    <x v="0"/>
    <s v="Q4"/>
    <x v="1"/>
    <x v="2"/>
    <x v="2"/>
    <x v="8"/>
    <n v="94.61"/>
    <x v="9"/>
    <n v="0"/>
    <n v="-6.23"/>
    <n v="-6.5849275975055493E-2"/>
    <s v="loss"/>
    <s v="No Discount"/>
    <s v="faster"/>
  </r>
  <r>
    <s v="ORD-1456"/>
    <d v="2023-09-18T00:00:00"/>
    <d v="2023-09-22T00:00:00"/>
    <n v="4"/>
    <x v="3"/>
    <x v="7"/>
    <x v="0"/>
    <s v="Q3"/>
    <x v="2"/>
    <x v="1"/>
    <x v="2"/>
    <x v="8"/>
    <n v="885.25"/>
    <x v="4"/>
    <n v="0.1"/>
    <n v="21.47"/>
    <n v="2.4253035865574694E-2"/>
    <s v="profit"/>
    <s v="low"/>
    <s v="Normal"/>
  </r>
  <r>
    <s v="ORD-1457"/>
    <d v="2023-01-18T00:00:00"/>
    <d v="2023-01-25T00:00:00"/>
    <n v="7"/>
    <x v="3"/>
    <x v="8"/>
    <x v="0"/>
    <s v="Q1"/>
    <x v="1"/>
    <x v="2"/>
    <x v="2"/>
    <x v="8"/>
    <n v="828.19"/>
    <x v="0"/>
    <n v="0.3"/>
    <n v="-139.29"/>
    <n v="-0.16818604426520484"/>
    <s v="loss"/>
    <s v="medium"/>
    <s v="slow"/>
  </r>
  <r>
    <s v="ORD-1458"/>
    <d v="2023-12-29T00:00:00"/>
    <d v="2024-01-01T00:00:00"/>
    <n v="3"/>
    <x v="3"/>
    <x v="9"/>
    <x v="0"/>
    <s v="Q4"/>
    <x v="1"/>
    <x v="0"/>
    <x v="1"/>
    <x v="6"/>
    <n v="552.9"/>
    <x v="5"/>
    <n v="0"/>
    <n v="53.98"/>
    <n v="9.7630674624706093E-2"/>
    <s v="profit"/>
    <s v="No Discount"/>
    <s v="Normal"/>
  </r>
  <r>
    <s v="ORD-1459"/>
    <d v="2023-06-06T00:00:00"/>
    <d v="2023-06-12T00:00:00"/>
    <n v="6"/>
    <x v="0"/>
    <x v="4"/>
    <x v="0"/>
    <s v="Q2"/>
    <x v="1"/>
    <x v="3"/>
    <x v="1"/>
    <x v="1"/>
    <n v="881.06"/>
    <x v="8"/>
    <n v="0.2"/>
    <n v="-47.33"/>
    <n v="-5.3719383469911244E-2"/>
    <s v="loss"/>
    <s v="low"/>
    <s v="slow"/>
  </r>
  <r>
    <s v="ORD-1460"/>
    <d v="2023-06-22T00:00:00"/>
    <d v="2023-06-27T00:00:00"/>
    <n v="5"/>
    <x v="3"/>
    <x v="4"/>
    <x v="0"/>
    <s v="Q2"/>
    <x v="0"/>
    <x v="0"/>
    <x v="1"/>
    <x v="6"/>
    <n v="260.38"/>
    <x v="5"/>
    <n v="0.2"/>
    <n v="14.67"/>
    <n v="5.6340732775174748E-2"/>
    <s v="profit"/>
    <s v="low"/>
    <s v="slow"/>
  </r>
  <r>
    <s v="ORD-1461"/>
    <d v="2023-10-21T00:00:00"/>
    <d v="2023-10-23T00:00:00"/>
    <n v="2"/>
    <x v="1"/>
    <x v="2"/>
    <x v="0"/>
    <s v="Q4"/>
    <x v="1"/>
    <x v="2"/>
    <x v="2"/>
    <x v="8"/>
    <n v="714.2"/>
    <x v="6"/>
    <n v="0.2"/>
    <n v="-74.709999999999994"/>
    <n v="-0.10460655278633435"/>
    <s v="loss"/>
    <s v="low"/>
    <s v="faster"/>
  </r>
  <r>
    <s v="ORD-1462"/>
    <d v="2023-05-10T00:00:00"/>
    <d v="2023-05-11T00:00:00"/>
    <n v="1"/>
    <x v="1"/>
    <x v="0"/>
    <x v="0"/>
    <s v="Q2"/>
    <x v="0"/>
    <x v="0"/>
    <x v="0"/>
    <x v="3"/>
    <n v="931.49"/>
    <x v="1"/>
    <n v="0.3"/>
    <n v="-163"/>
    <n v="-0.17498845935007354"/>
    <s v="loss"/>
    <s v="medium"/>
    <s v="faster"/>
  </r>
  <r>
    <s v="ORD-1463"/>
    <d v="2023-01-18T00:00:00"/>
    <d v="2023-01-21T00:00:00"/>
    <n v="3"/>
    <x v="2"/>
    <x v="8"/>
    <x v="0"/>
    <s v="Q1"/>
    <x v="2"/>
    <x v="1"/>
    <x v="2"/>
    <x v="2"/>
    <n v="757.66"/>
    <x v="8"/>
    <n v="0.2"/>
    <n v="-34.049999999999997"/>
    <n v="-4.4941002560515267E-2"/>
    <s v="loss"/>
    <s v="low"/>
    <s v="Normal"/>
  </r>
  <r>
    <s v="ORD-1464"/>
    <d v="2023-03-12T00:00:00"/>
    <d v="2023-03-19T00:00:00"/>
    <n v="7"/>
    <x v="2"/>
    <x v="3"/>
    <x v="0"/>
    <s v="Q1"/>
    <x v="0"/>
    <x v="1"/>
    <x v="2"/>
    <x v="2"/>
    <n v="962.09"/>
    <x v="4"/>
    <n v="0"/>
    <n v="78.260000000000005"/>
    <n v="8.1343741230030464E-2"/>
    <s v="profit"/>
    <s v="No Discount"/>
    <s v="slow"/>
  </r>
  <r>
    <s v="ORD-1465"/>
    <d v="2023-04-09T00:00:00"/>
    <d v="2023-04-12T00:00:00"/>
    <n v="3"/>
    <x v="2"/>
    <x v="11"/>
    <x v="0"/>
    <s v="Q2"/>
    <x v="1"/>
    <x v="1"/>
    <x v="0"/>
    <x v="3"/>
    <n v="829.3"/>
    <x v="0"/>
    <n v="0.1"/>
    <n v="37.4"/>
    <n v="4.5098275654166166E-2"/>
    <s v="profit"/>
    <s v="low"/>
    <s v="Normal"/>
  </r>
  <r>
    <s v="ORD-1466"/>
    <d v="2023-05-07T00:00:00"/>
    <d v="2023-05-08T00:00:00"/>
    <n v="1"/>
    <x v="0"/>
    <x v="0"/>
    <x v="0"/>
    <s v="Q2"/>
    <x v="2"/>
    <x v="2"/>
    <x v="0"/>
    <x v="5"/>
    <n v="244.05"/>
    <x v="6"/>
    <n v="0.2"/>
    <n v="-33.15"/>
    <n v="-0.13583282114320835"/>
    <s v="loss"/>
    <s v="low"/>
    <s v="faster"/>
  </r>
  <r>
    <s v="ORD-1467"/>
    <d v="2023-12-19T00:00:00"/>
    <d v="2023-12-21T00:00:00"/>
    <n v="2"/>
    <x v="0"/>
    <x v="9"/>
    <x v="0"/>
    <s v="Q4"/>
    <x v="1"/>
    <x v="2"/>
    <x v="0"/>
    <x v="3"/>
    <n v="821.61"/>
    <x v="9"/>
    <n v="0.1"/>
    <n v="32.96"/>
    <n v="4.0116356908995753E-2"/>
    <s v="profit"/>
    <s v="low"/>
    <s v="faster"/>
  </r>
  <r>
    <s v="ORD-1468"/>
    <d v="2023-01-18T00:00:00"/>
    <d v="2023-01-20T00:00:00"/>
    <n v="2"/>
    <x v="0"/>
    <x v="8"/>
    <x v="0"/>
    <s v="Q1"/>
    <x v="2"/>
    <x v="0"/>
    <x v="0"/>
    <x v="0"/>
    <n v="273.51"/>
    <x v="4"/>
    <n v="0.1"/>
    <n v="0.09"/>
    <n v="3.2905561039815728E-4"/>
    <s v="profit"/>
    <s v="low"/>
    <s v="faster"/>
  </r>
  <r>
    <s v="ORD-1469"/>
    <d v="2023-08-25T00:00:00"/>
    <d v="2023-08-28T00:00:00"/>
    <n v="3"/>
    <x v="2"/>
    <x v="10"/>
    <x v="0"/>
    <s v="Q3"/>
    <x v="2"/>
    <x v="0"/>
    <x v="2"/>
    <x v="7"/>
    <n v="624.59"/>
    <x v="4"/>
    <n v="0"/>
    <n v="81.650000000000006"/>
    <n v="0.13072575609599899"/>
    <s v="profit"/>
    <s v="No Discount"/>
    <s v="Normal"/>
  </r>
  <r>
    <s v="ORD-1470"/>
    <d v="2023-03-07T00:00:00"/>
    <d v="2023-03-10T00:00:00"/>
    <n v="3"/>
    <x v="0"/>
    <x v="3"/>
    <x v="0"/>
    <s v="Q1"/>
    <x v="0"/>
    <x v="3"/>
    <x v="2"/>
    <x v="2"/>
    <n v="133.53"/>
    <x v="1"/>
    <n v="0.1"/>
    <n v="24.38"/>
    <n v="0.18258069347712125"/>
    <s v="profit"/>
    <s v="low"/>
    <s v="Normal"/>
  </r>
  <r>
    <s v="ORD-1471"/>
    <d v="2023-06-07T00:00:00"/>
    <d v="2023-06-14T00:00:00"/>
    <n v="7"/>
    <x v="3"/>
    <x v="4"/>
    <x v="0"/>
    <s v="Q2"/>
    <x v="1"/>
    <x v="3"/>
    <x v="2"/>
    <x v="8"/>
    <n v="549.19000000000005"/>
    <x v="9"/>
    <n v="0.2"/>
    <n v="-65.930000000000007"/>
    <n v="-0.12004952748593382"/>
    <s v="loss"/>
    <s v="low"/>
    <s v="slow"/>
  </r>
  <r>
    <s v="ORD-1472"/>
    <d v="2023-07-30T00:00:00"/>
    <d v="2023-08-04T00:00:00"/>
    <n v="5"/>
    <x v="2"/>
    <x v="5"/>
    <x v="0"/>
    <s v="Q3"/>
    <x v="1"/>
    <x v="2"/>
    <x v="1"/>
    <x v="6"/>
    <n v="297.68"/>
    <x v="0"/>
    <n v="0.2"/>
    <n v="-11.88"/>
    <n v="-3.9908626713249129E-2"/>
    <s v="loss"/>
    <s v="low"/>
    <s v="slow"/>
  </r>
  <r>
    <s v="ORD-1473"/>
    <d v="2023-08-14T00:00:00"/>
    <d v="2023-08-17T00:00:00"/>
    <n v="3"/>
    <x v="0"/>
    <x v="10"/>
    <x v="0"/>
    <s v="Q3"/>
    <x v="2"/>
    <x v="0"/>
    <x v="2"/>
    <x v="8"/>
    <n v="963.73"/>
    <x v="8"/>
    <n v="0.2"/>
    <n v="-88.92"/>
    <n v="-9.2266506179116553E-2"/>
    <s v="loss"/>
    <s v="low"/>
    <s v="Normal"/>
  </r>
  <r>
    <s v="ORD-1474"/>
    <d v="2023-08-14T00:00:00"/>
    <d v="2023-08-17T00:00:00"/>
    <n v="3"/>
    <x v="1"/>
    <x v="10"/>
    <x v="0"/>
    <s v="Q3"/>
    <x v="2"/>
    <x v="3"/>
    <x v="2"/>
    <x v="8"/>
    <n v="195.91"/>
    <x v="1"/>
    <n v="0"/>
    <n v="6.77"/>
    <n v="3.4556684191720685E-2"/>
    <s v="profit"/>
    <s v="No Discount"/>
    <s v="Normal"/>
  </r>
  <r>
    <s v="ORD-1475"/>
    <d v="2023-12-06T00:00:00"/>
    <d v="2023-12-10T00:00:00"/>
    <n v="4"/>
    <x v="2"/>
    <x v="9"/>
    <x v="0"/>
    <s v="Q4"/>
    <x v="1"/>
    <x v="0"/>
    <x v="0"/>
    <x v="3"/>
    <n v="938.48"/>
    <x v="8"/>
    <n v="0.3"/>
    <n v="-153.74"/>
    <n v="-0.16381808882448215"/>
    <s v="loss"/>
    <s v="medium"/>
    <s v="Normal"/>
  </r>
  <r>
    <s v="ORD-1476"/>
    <d v="2023-06-09T00:00:00"/>
    <d v="2023-06-14T00:00:00"/>
    <n v="5"/>
    <x v="2"/>
    <x v="4"/>
    <x v="0"/>
    <s v="Q2"/>
    <x v="1"/>
    <x v="2"/>
    <x v="2"/>
    <x v="2"/>
    <n v="948.35"/>
    <x v="1"/>
    <n v="0.3"/>
    <n v="-160.1"/>
    <n v="-0.16881952865503241"/>
    <s v="loss"/>
    <s v="medium"/>
    <s v="slow"/>
  </r>
  <r>
    <s v="ORD-1477"/>
    <d v="2023-09-14T00:00:00"/>
    <d v="2023-09-17T00:00:00"/>
    <n v="3"/>
    <x v="3"/>
    <x v="7"/>
    <x v="0"/>
    <s v="Q3"/>
    <x v="2"/>
    <x v="1"/>
    <x v="0"/>
    <x v="3"/>
    <n v="86"/>
    <x v="0"/>
    <n v="0.1"/>
    <n v="13.15"/>
    <n v="0.15290697674418605"/>
    <s v="profit"/>
    <s v="low"/>
    <s v="Normal"/>
  </r>
  <r>
    <s v="ORD-1478"/>
    <d v="2023-10-24T00:00:00"/>
    <d v="2023-10-25T00:00:00"/>
    <n v="1"/>
    <x v="2"/>
    <x v="2"/>
    <x v="0"/>
    <s v="Q4"/>
    <x v="1"/>
    <x v="0"/>
    <x v="2"/>
    <x v="2"/>
    <n v="76.760000000000005"/>
    <x v="0"/>
    <n v="0.3"/>
    <n v="-32.15"/>
    <n v="-0.41883793642522144"/>
    <s v="loss"/>
    <s v="medium"/>
    <s v="faster"/>
  </r>
  <r>
    <s v="ORD-1479"/>
    <d v="2023-09-16T00:00:00"/>
    <d v="2023-09-23T00:00:00"/>
    <n v="7"/>
    <x v="1"/>
    <x v="7"/>
    <x v="0"/>
    <s v="Q3"/>
    <x v="0"/>
    <x v="2"/>
    <x v="2"/>
    <x v="7"/>
    <n v="874.11"/>
    <x v="3"/>
    <n v="0.3"/>
    <n v="-147.5"/>
    <n v="-0.16874306437404904"/>
    <s v="loss"/>
    <s v="medium"/>
    <s v="slow"/>
  </r>
  <r>
    <s v="ORD-1480"/>
    <d v="2023-02-02T00:00:00"/>
    <d v="2023-02-07T00:00:00"/>
    <n v="5"/>
    <x v="1"/>
    <x v="1"/>
    <x v="0"/>
    <s v="Q1"/>
    <x v="2"/>
    <x v="3"/>
    <x v="0"/>
    <x v="3"/>
    <n v="457.04"/>
    <x v="9"/>
    <n v="0.2"/>
    <n v="-56.6"/>
    <n v="-0.12384036408191842"/>
    <s v="loss"/>
    <s v="low"/>
    <s v="slow"/>
  </r>
  <r>
    <s v="ORD-1481"/>
    <d v="2023-01-08T00:00:00"/>
    <d v="2023-01-10T00:00:00"/>
    <n v="2"/>
    <x v="3"/>
    <x v="8"/>
    <x v="0"/>
    <s v="Q1"/>
    <x v="0"/>
    <x v="0"/>
    <x v="2"/>
    <x v="7"/>
    <n v="763.1"/>
    <x v="5"/>
    <n v="0.2"/>
    <n v="-91.72"/>
    <n v="-0.12019394574760843"/>
    <s v="loss"/>
    <s v="low"/>
    <s v="faster"/>
  </r>
  <r>
    <s v="ORD-1482"/>
    <d v="2023-05-15T00:00:00"/>
    <d v="2023-05-21T00:00:00"/>
    <n v="6"/>
    <x v="3"/>
    <x v="0"/>
    <x v="0"/>
    <s v="Q2"/>
    <x v="1"/>
    <x v="1"/>
    <x v="1"/>
    <x v="6"/>
    <n v="825.08"/>
    <x v="2"/>
    <n v="0.2"/>
    <n v="-68.3"/>
    <n v="-8.2779851650749012E-2"/>
    <s v="loss"/>
    <s v="low"/>
    <s v="slow"/>
  </r>
  <r>
    <s v="ORD-1483"/>
    <d v="2023-08-11T00:00:00"/>
    <d v="2023-08-15T00:00:00"/>
    <n v="4"/>
    <x v="1"/>
    <x v="10"/>
    <x v="0"/>
    <s v="Q3"/>
    <x v="0"/>
    <x v="2"/>
    <x v="1"/>
    <x v="1"/>
    <n v="775"/>
    <x v="9"/>
    <n v="0.1"/>
    <n v="-19.93"/>
    <n v="-2.5716129032258065E-2"/>
    <s v="loss"/>
    <s v="low"/>
    <s v="Normal"/>
  </r>
  <r>
    <s v="ORD-1484"/>
    <d v="2023-07-06T00:00:00"/>
    <d v="2023-07-11T00:00:00"/>
    <n v="5"/>
    <x v="1"/>
    <x v="5"/>
    <x v="0"/>
    <s v="Q3"/>
    <x v="2"/>
    <x v="2"/>
    <x v="0"/>
    <x v="0"/>
    <n v="175.76"/>
    <x v="6"/>
    <n v="0.1"/>
    <n v="49.8"/>
    <n v="0.28334091943559397"/>
    <s v="profit"/>
    <s v="low"/>
    <s v="slow"/>
  </r>
  <r>
    <s v="ORD-1485"/>
    <d v="2023-02-26T00:00:00"/>
    <d v="2023-03-03T00:00:00"/>
    <n v="5"/>
    <x v="3"/>
    <x v="1"/>
    <x v="0"/>
    <s v="Q1"/>
    <x v="1"/>
    <x v="3"/>
    <x v="2"/>
    <x v="8"/>
    <n v="437.66"/>
    <x v="6"/>
    <n v="0"/>
    <n v="83.56"/>
    <n v="0.19092446191107251"/>
    <s v="profit"/>
    <s v="No Discount"/>
    <s v="slow"/>
  </r>
  <r>
    <s v="ORD-1486"/>
    <d v="2023-09-21T00:00:00"/>
    <d v="2023-09-22T00:00:00"/>
    <n v="1"/>
    <x v="3"/>
    <x v="7"/>
    <x v="0"/>
    <s v="Q3"/>
    <x v="0"/>
    <x v="1"/>
    <x v="1"/>
    <x v="6"/>
    <n v="536.48"/>
    <x v="7"/>
    <n v="0"/>
    <n v="82.21"/>
    <n v="0.15323963614673425"/>
    <s v="profit"/>
    <s v="No Discount"/>
    <s v="faster"/>
  </r>
  <r>
    <s v="ORD-1487"/>
    <d v="2023-03-07T00:00:00"/>
    <d v="2023-03-14T00:00:00"/>
    <n v="7"/>
    <x v="1"/>
    <x v="3"/>
    <x v="0"/>
    <s v="Q1"/>
    <x v="2"/>
    <x v="2"/>
    <x v="0"/>
    <x v="0"/>
    <n v="236.35"/>
    <x v="7"/>
    <n v="0.1"/>
    <n v="34.1"/>
    <n v="0.1442775544742966"/>
    <s v="profit"/>
    <s v="low"/>
    <s v="slow"/>
  </r>
  <r>
    <s v="ORD-1488"/>
    <d v="2023-02-06T00:00:00"/>
    <d v="2023-02-09T00:00:00"/>
    <n v="3"/>
    <x v="1"/>
    <x v="1"/>
    <x v="0"/>
    <s v="Q1"/>
    <x v="0"/>
    <x v="1"/>
    <x v="0"/>
    <x v="3"/>
    <n v="245.45"/>
    <x v="2"/>
    <n v="0.2"/>
    <n v="-25.42"/>
    <n v="-0.10356488083112651"/>
    <s v="loss"/>
    <s v="low"/>
    <s v="Normal"/>
  </r>
  <r>
    <s v="ORD-1489"/>
    <d v="2023-06-24T00:00:00"/>
    <d v="2023-06-26T00:00:00"/>
    <n v="2"/>
    <x v="0"/>
    <x v="4"/>
    <x v="0"/>
    <s v="Q2"/>
    <x v="0"/>
    <x v="3"/>
    <x v="2"/>
    <x v="8"/>
    <n v="951.85"/>
    <x v="6"/>
    <n v="0.3"/>
    <n v="-208.18"/>
    <n v="-0.2187109313442244"/>
    <s v="loss"/>
    <s v="medium"/>
    <s v="faster"/>
  </r>
  <r>
    <s v="ORD-1490"/>
    <d v="2023-05-17T00:00:00"/>
    <d v="2023-05-19T00:00:00"/>
    <n v="2"/>
    <x v="2"/>
    <x v="0"/>
    <x v="0"/>
    <s v="Q2"/>
    <x v="1"/>
    <x v="3"/>
    <x v="0"/>
    <x v="0"/>
    <n v="736.64"/>
    <x v="9"/>
    <n v="0.2"/>
    <n v="-64.28"/>
    <n v="-8.726107732406603E-2"/>
    <s v="loss"/>
    <s v="low"/>
    <s v="faster"/>
  </r>
  <r>
    <s v="ORD-1491"/>
    <d v="2023-11-17T00:00:00"/>
    <d v="2023-11-21T00:00:00"/>
    <n v="4"/>
    <x v="1"/>
    <x v="6"/>
    <x v="0"/>
    <s v="Q4"/>
    <x v="2"/>
    <x v="3"/>
    <x v="1"/>
    <x v="1"/>
    <n v="645.76"/>
    <x v="2"/>
    <n v="0.1"/>
    <n v="33.21"/>
    <n v="5.1427775024777009E-2"/>
    <s v="profit"/>
    <s v="low"/>
    <s v="Normal"/>
  </r>
  <r>
    <s v="ORD-1492"/>
    <d v="2023-08-06T00:00:00"/>
    <d v="2023-08-10T00:00:00"/>
    <n v="4"/>
    <x v="1"/>
    <x v="10"/>
    <x v="0"/>
    <s v="Q3"/>
    <x v="1"/>
    <x v="3"/>
    <x v="0"/>
    <x v="3"/>
    <n v="453.45"/>
    <x v="6"/>
    <n v="0.2"/>
    <n v="-36.69"/>
    <n v="-8.0913000330797222E-2"/>
    <s v="loss"/>
    <s v="low"/>
    <s v="Normal"/>
  </r>
  <r>
    <s v="ORD-1493"/>
    <d v="2023-09-14T00:00:00"/>
    <d v="2023-09-17T00:00:00"/>
    <n v="3"/>
    <x v="2"/>
    <x v="7"/>
    <x v="0"/>
    <s v="Q3"/>
    <x v="0"/>
    <x v="2"/>
    <x v="2"/>
    <x v="2"/>
    <n v="896.22"/>
    <x v="5"/>
    <n v="0.2"/>
    <n v="-57.41"/>
    <n v="-6.4057932204146295E-2"/>
    <s v="loss"/>
    <s v="low"/>
    <s v="Normal"/>
  </r>
  <r>
    <s v="ORD-1494"/>
    <d v="2023-12-16T00:00:00"/>
    <d v="2023-12-19T00:00:00"/>
    <n v="3"/>
    <x v="1"/>
    <x v="9"/>
    <x v="0"/>
    <s v="Q4"/>
    <x v="2"/>
    <x v="3"/>
    <x v="1"/>
    <x v="6"/>
    <n v="216.35"/>
    <x v="4"/>
    <n v="0"/>
    <n v="47.25"/>
    <n v="0.21839611740235729"/>
    <s v="profit"/>
    <s v="No Discount"/>
    <s v="Normal"/>
  </r>
  <r>
    <s v="ORD-1495"/>
    <d v="2023-03-19T00:00:00"/>
    <d v="2023-03-24T00:00:00"/>
    <n v="5"/>
    <x v="1"/>
    <x v="3"/>
    <x v="0"/>
    <s v="Q1"/>
    <x v="2"/>
    <x v="1"/>
    <x v="1"/>
    <x v="4"/>
    <n v="381.16"/>
    <x v="6"/>
    <n v="0.2"/>
    <n v="-25.11"/>
    <n v="-6.587784657361738E-2"/>
    <s v="loss"/>
    <s v="low"/>
    <s v="slow"/>
  </r>
  <r>
    <s v="ORD-1496"/>
    <d v="2023-09-06T00:00:00"/>
    <d v="2023-09-13T00:00:00"/>
    <n v="7"/>
    <x v="0"/>
    <x v="7"/>
    <x v="0"/>
    <s v="Q3"/>
    <x v="2"/>
    <x v="0"/>
    <x v="1"/>
    <x v="1"/>
    <n v="552.37"/>
    <x v="0"/>
    <n v="0.3"/>
    <n v="-117.49"/>
    <n v="-0.21270163115303148"/>
    <s v="loss"/>
    <s v="medium"/>
    <s v="slow"/>
  </r>
  <r>
    <s v="ORD-1497"/>
    <d v="2023-11-11T00:00:00"/>
    <d v="2023-11-15T00:00:00"/>
    <n v="4"/>
    <x v="2"/>
    <x v="6"/>
    <x v="0"/>
    <s v="Q4"/>
    <x v="1"/>
    <x v="3"/>
    <x v="2"/>
    <x v="2"/>
    <n v="871.25"/>
    <x v="3"/>
    <n v="0"/>
    <n v="77.88"/>
    <n v="8.9388809182209469E-2"/>
    <s v="profit"/>
    <s v="No Discount"/>
    <s v="Normal"/>
  </r>
  <r>
    <s v="ORD-1498"/>
    <d v="2023-10-12T00:00:00"/>
    <d v="2023-10-18T00:00:00"/>
    <n v="6"/>
    <x v="3"/>
    <x v="2"/>
    <x v="0"/>
    <s v="Q4"/>
    <x v="2"/>
    <x v="2"/>
    <x v="0"/>
    <x v="0"/>
    <n v="464.62"/>
    <x v="6"/>
    <n v="0.1"/>
    <n v="33.270000000000003"/>
    <n v="7.1606904567173182E-2"/>
    <s v="profit"/>
    <s v="low"/>
    <s v="slow"/>
  </r>
  <r>
    <s v="ORD-1499"/>
    <d v="2023-08-01T00:00:00"/>
    <d v="2023-08-07T00:00:00"/>
    <n v="6"/>
    <x v="0"/>
    <x v="10"/>
    <x v="0"/>
    <s v="Q3"/>
    <x v="0"/>
    <x v="0"/>
    <x v="2"/>
    <x v="2"/>
    <n v="633.70000000000005"/>
    <x v="8"/>
    <n v="0.3"/>
    <n v="-126.15"/>
    <n v="-0.19906896007574562"/>
    <s v="loss"/>
    <s v="medium"/>
    <s v="slow"/>
  </r>
  <r>
    <s v="ORD-1500"/>
    <d v="2023-11-02T00:00:00"/>
    <d v="2023-11-07T00:00:00"/>
    <n v="5"/>
    <x v="1"/>
    <x v="6"/>
    <x v="0"/>
    <s v="Q4"/>
    <x v="1"/>
    <x v="3"/>
    <x v="1"/>
    <x v="1"/>
    <n v="913.6"/>
    <x v="7"/>
    <n v="0.1"/>
    <n v="23.17"/>
    <n v="2.5361208406304729E-2"/>
    <s v="profit"/>
    <s v="low"/>
    <s v="slow"/>
  </r>
  <r>
    <m/>
    <m/>
    <m/>
    <n v="0"/>
    <x v="0"/>
    <x v="8"/>
    <x v="2"/>
    <m/>
    <x v="3"/>
    <x v="4"/>
    <x v="3"/>
    <x v="9"/>
    <m/>
    <x v="10"/>
    <m/>
    <m/>
    <e v="#DIV/0!"/>
    <e v="#DIV/0!"/>
    <s v="No Discount"/>
    <s v="fast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4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FB5:XFB10" firstHeaderRow="1" firstDataRow="1" firstDataCol="1"/>
  <pivotFields count="20">
    <pivotField showAll="0"/>
    <pivotField showAll="0"/>
    <pivotField showAll="0"/>
    <pivotField numFmtId="1" showAll="0"/>
    <pivotField axis="axisRow" showAll="0">
      <items count="5">
        <item x="1"/>
        <item x="0"/>
        <item x="3"/>
        <item x="2"/>
        <item t="default"/>
      </items>
    </pivotField>
    <pivotField showAll="0"/>
    <pivotField showAll="0"/>
    <pivotField showAll="0"/>
    <pivotField showAll="0">
      <items count="5">
        <item h="1" x="1"/>
        <item x="0"/>
        <item h="1" x="2"/>
        <item h="1" x="3"/>
        <item t="default"/>
      </items>
    </pivotField>
    <pivotField showAll="0">
      <items count="6">
        <item x="3"/>
        <item x="2"/>
        <item x="0"/>
        <item x="1"/>
        <item x="4"/>
        <item t="default"/>
      </items>
    </pivotField>
    <pivotField showAll="0">
      <items count="5">
        <item x="2"/>
        <item h="1" x="1"/>
        <item h="1" x="0"/>
        <item h="1" x="3"/>
        <item t="default"/>
      </items>
    </pivotField>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3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1:J13" firstHeaderRow="1" firstDataRow="1" firstDataCol="1"/>
  <pivotFields count="20">
    <pivotField showAll="0"/>
    <pivotField showAll="0"/>
    <pivotField showAll="0"/>
    <pivotField numFmtId="1" showAll="0"/>
    <pivotField showAll="0"/>
    <pivotField showAll="0"/>
    <pivotField showAll="0">
      <items count="4">
        <item x="0"/>
        <item x="1"/>
        <item x="2"/>
        <item t="default"/>
      </items>
    </pivotField>
    <pivotField showAll="0"/>
    <pivotField showAll="0">
      <items count="5">
        <item h="1" x="1"/>
        <item x="0"/>
        <item h="1" x="2"/>
        <item h="1" x="3"/>
        <item t="default"/>
      </items>
    </pivotField>
    <pivotField showAll="0">
      <items count="6">
        <item x="3"/>
        <item x="2"/>
        <item x="0"/>
        <item x="1"/>
        <item x="4"/>
        <item t="default"/>
      </items>
    </pivotField>
    <pivotField axis="axisRow" showAll="0">
      <items count="5">
        <item x="2"/>
        <item h="1" x="1"/>
        <item h="1" x="0"/>
        <item h="1" x="3"/>
        <item t="default"/>
      </items>
    </pivotField>
    <pivotField showAll="0"/>
    <pivotField showAll="0"/>
    <pivotField showAll="0"/>
    <pivotField dataField="1" showAll="0"/>
    <pivotField showAll="0"/>
    <pivotField showAll="0"/>
    <pivotField showAll="0"/>
    <pivotField showAll="0"/>
    <pivotField showAll="0"/>
  </pivotFields>
  <rowFields count="1">
    <field x="10"/>
  </rowFields>
  <rowItems count="2">
    <i>
      <x/>
    </i>
    <i t="grand">
      <x/>
    </i>
  </rowItems>
  <colItems count="1">
    <i/>
  </colItems>
  <dataFields count="1">
    <dataField name="Average of Discount" fld="14" subtotal="average" baseField="10" baseItem="0"/>
  </dataFields>
  <formats count="3">
    <format dxfId="3">
      <pivotArea outline="0" collapsedLevelsAreSubtotals="1" fieldPosition="0"/>
    </format>
    <format dxfId="4">
      <pivotArea collapsedLevelsAreSubtotals="1" fieldPosition="0">
        <references count="1">
          <reference field="10" count="0"/>
        </references>
      </pivotArea>
    </format>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3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F16" firstHeaderRow="1" firstDataRow="1" firstDataCol="1"/>
  <pivotFields count="20">
    <pivotField showAll="0"/>
    <pivotField showAll="0"/>
    <pivotField showAll="0"/>
    <pivotField numFmtId="1" showAll="0"/>
    <pivotField showAll="0"/>
    <pivotField showAll="0"/>
    <pivotField showAll="0">
      <items count="4">
        <item x="0"/>
        <item x="1"/>
        <item x="2"/>
        <item t="default"/>
      </items>
    </pivotField>
    <pivotField showAll="0"/>
    <pivotField showAll="0">
      <items count="5">
        <item h="1" x="1"/>
        <item x="0"/>
        <item h="1" x="2"/>
        <item h="1" x="3"/>
        <item t="default"/>
      </items>
    </pivotField>
    <pivotField axis="axisRow" showAll="0">
      <items count="6">
        <item x="3"/>
        <item x="2"/>
        <item x="0"/>
        <item x="1"/>
        <item x="4"/>
        <item t="default"/>
      </items>
    </pivotField>
    <pivotField showAll="0">
      <items count="5">
        <item x="2"/>
        <item h="1" x="1"/>
        <item h="1" x="0"/>
        <item h="1" x="3"/>
        <item t="default"/>
      </items>
    </pivotField>
    <pivotField showAll="0"/>
    <pivotField showAll="0"/>
    <pivotField showAll="0"/>
    <pivotField showAll="0"/>
    <pivotField dataField="1" showAll="0"/>
    <pivotField showAll="0"/>
    <pivotField showAll="0"/>
    <pivotField showAll="0"/>
    <pivotField showAll="0"/>
  </pivotFields>
  <rowFields count="1">
    <field x="9"/>
  </rowFields>
  <rowItems count="5">
    <i>
      <x/>
    </i>
    <i>
      <x v="1"/>
    </i>
    <i>
      <x v="2"/>
    </i>
    <i>
      <x v="3"/>
    </i>
    <i t="grand">
      <x/>
    </i>
  </rowItems>
  <colItems count="1">
    <i/>
  </colItems>
  <dataFields count="1">
    <dataField name="Sum of Profit" fld="15"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9" cacheId="30"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chartFormat="9">
  <location ref="A3:B5" firstHeaderRow="1" firstDataRow="1" firstDataCol="1"/>
  <pivotFields count="20">
    <pivotField showAll="0"/>
    <pivotField showAll="0"/>
    <pivotField showAll="0"/>
    <pivotField numFmtId="1" showAll="0"/>
    <pivotField showAll="0"/>
    <pivotField showAll="0"/>
    <pivotField showAll="0">
      <items count="4">
        <item x="0"/>
        <item x="1"/>
        <item x="2"/>
        <item t="default"/>
      </items>
    </pivotField>
    <pivotField showAll="0"/>
    <pivotField showAll="0">
      <items count="5">
        <item h="1" x="1"/>
        <item x="0"/>
        <item h="1" x="2"/>
        <item h="1" x="3"/>
        <item t="default"/>
      </items>
    </pivotField>
    <pivotField showAll="0">
      <items count="6">
        <item x="3"/>
        <item x="2"/>
        <item x="0"/>
        <item x="1"/>
        <item x="4"/>
        <item t="default"/>
      </items>
    </pivotField>
    <pivotField axis="axisRow" showAll="0">
      <items count="5">
        <item x="2"/>
        <item h="1" x="1"/>
        <item h="1" x="0"/>
        <item h="1" x="3"/>
        <item t="default"/>
      </items>
    </pivotField>
    <pivotField showAll="0"/>
    <pivotField dataField="1" showAll="0"/>
    <pivotField showAll="0"/>
    <pivotField showAll="0"/>
    <pivotField showAll="0"/>
    <pivotField showAll="0"/>
    <pivotField showAll="0"/>
    <pivotField showAll="0"/>
    <pivotField showAll="0"/>
  </pivotFields>
  <rowFields count="1">
    <field x="10"/>
  </rowFields>
  <rowItems count="2">
    <i>
      <x/>
    </i>
    <i t="grand">
      <x/>
    </i>
  </rowItems>
  <colItems count="1">
    <i/>
  </colItems>
  <dataFields count="1">
    <dataField name="Sum of Sales" fld="12" baseField="0" baseItem="0"/>
  </dataFields>
  <formats count="2">
    <format dxfId="14">
      <pivotArea collapsedLevelsAreSubtotals="1" fieldPosition="0">
        <references count="1">
          <reference field="10" count="0"/>
        </references>
      </pivotArea>
    </format>
    <format dxfId="15">
      <pivotArea grandRow="1"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3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7" firstHeaderRow="1" firstDataRow="1" firstDataCol="1"/>
  <pivotFields count="20">
    <pivotField showAll="0"/>
    <pivotField showAll="0"/>
    <pivotField showAll="0"/>
    <pivotField numFmtId="1" showAll="0"/>
    <pivotField showAll="0"/>
    <pivotField showAll="0"/>
    <pivotField showAll="0">
      <items count="4">
        <item x="0"/>
        <item x="1"/>
        <item x="2"/>
        <item t="default"/>
      </items>
    </pivotField>
    <pivotField showAll="0"/>
    <pivotField showAll="0">
      <items count="5">
        <item h="1" x="1"/>
        <item x="0"/>
        <item h="1" x="2"/>
        <item h="1" x="3"/>
        <item t="default"/>
      </items>
    </pivotField>
    <pivotField showAll="0">
      <items count="6">
        <item x="3"/>
        <item x="2"/>
        <item x="0"/>
        <item x="1"/>
        <item x="4"/>
        <item t="default"/>
      </items>
    </pivotField>
    <pivotField showAll="0">
      <items count="5">
        <item x="2"/>
        <item h="1" x="1"/>
        <item h="1" x="0"/>
        <item h="1" x="3"/>
        <item t="default"/>
      </items>
    </pivotField>
    <pivotField axis="axisRow" showAll="0" sortType="ascending">
      <items count="11">
        <item x="0"/>
        <item x="6"/>
        <item x="7"/>
        <item x="2"/>
        <item x="5"/>
        <item x="1"/>
        <item x="3"/>
        <item x="4"/>
        <item x="8"/>
        <item h="1" x="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s>
  <rowFields count="1">
    <field x="11"/>
  </rowFields>
  <rowItems count="4">
    <i>
      <x v="8"/>
    </i>
    <i>
      <x v="2"/>
    </i>
    <i>
      <x v="3"/>
    </i>
    <i t="grand">
      <x/>
    </i>
  </rowItems>
  <colItems count="1">
    <i/>
  </colItems>
  <dataFields count="1">
    <dataField name="Sum of Profit" fld="15"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3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25" firstHeaderRow="1" firstDataRow="1" firstDataCol="1"/>
  <pivotFields count="20">
    <pivotField showAll="0"/>
    <pivotField showAll="0"/>
    <pivotField showAll="0"/>
    <pivotField numFmtId="1" showAll="0"/>
    <pivotField showAll="0"/>
    <pivotField showAll="0"/>
    <pivotField showAll="0">
      <items count="4">
        <item x="0"/>
        <item x="1"/>
        <item x="2"/>
        <item t="default"/>
      </items>
    </pivotField>
    <pivotField showAll="0"/>
    <pivotField showAll="0">
      <items count="5">
        <item h="1" x="1"/>
        <item x="0"/>
        <item h="1" x="2"/>
        <item h="1" x="3"/>
        <item t="default"/>
      </items>
    </pivotField>
    <pivotField axis="axisRow" showAll="0">
      <items count="6">
        <item x="3"/>
        <item x="2"/>
        <item x="0"/>
        <item x="1"/>
        <item x="4"/>
        <item t="default"/>
      </items>
    </pivotField>
    <pivotField showAll="0">
      <items count="5">
        <item x="2"/>
        <item h="1" x="1"/>
        <item h="1" x="0"/>
        <item h="1" x="3"/>
        <item t="default"/>
      </items>
    </pivotField>
    <pivotField showAll="0"/>
    <pivotField dataField="1"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Sales" fld="12" baseField="0" baseItem="0" numFmtId="164"/>
  </dataFields>
  <formats count="1">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7" firstHeaderRow="1" firstDataRow="1" firstDataCol="1"/>
  <pivotFields count="20">
    <pivotField showAll="0"/>
    <pivotField showAll="0"/>
    <pivotField showAll="0"/>
    <pivotField numFmtId="1" showAll="0"/>
    <pivotField showAll="0"/>
    <pivotField showAll="0"/>
    <pivotField showAll="0">
      <items count="4">
        <item x="0"/>
        <item x="1"/>
        <item x="2"/>
        <item t="default"/>
      </items>
    </pivotField>
    <pivotField showAll="0"/>
    <pivotField showAll="0">
      <items count="5">
        <item h="1" x="1"/>
        <item x="0"/>
        <item h="1" x="2"/>
        <item h="1" x="3"/>
        <item t="default"/>
      </items>
    </pivotField>
    <pivotField showAll="0">
      <items count="6">
        <item x="3"/>
        <item x="2"/>
        <item x="0"/>
        <item x="1"/>
        <item x="4"/>
        <item t="default"/>
      </items>
    </pivotField>
    <pivotField showAll="0">
      <items count="5">
        <item x="2"/>
        <item h="1" x="1"/>
        <item h="1" x="0"/>
        <item h="1" x="3"/>
        <item t="default"/>
      </items>
    </pivotField>
    <pivotField axis="axisRow" showAll="0" sortType="descending">
      <items count="11">
        <item x="0"/>
        <item x="6"/>
        <item x="7"/>
        <item x="2"/>
        <item x="5"/>
        <item x="1"/>
        <item x="3"/>
        <item x="4"/>
        <item x="8"/>
        <item h="1" x="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s>
  <rowFields count="1">
    <field x="11"/>
  </rowFields>
  <rowItems count="4">
    <i>
      <x v="2"/>
    </i>
    <i>
      <x v="8"/>
    </i>
    <i>
      <x v="3"/>
    </i>
    <i t="grand">
      <x/>
    </i>
  </rowItems>
  <colItems count="1">
    <i/>
  </colItems>
  <dataFields count="1">
    <dataField name="Sum of Sales" fld="12" baseField="0" baseItem="0"/>
  </dataFields>
  <formats count="2">
    <format dxfId="11">
      <pivotArea collapsedLevelsAreSubtotals="1" fieldPosition="0">
        <references count="1">
          <reference field="11" count="0"/>
        </references>
      </pivotArea>
    </format>
    <format dxfId="1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PivotTable3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0:D31" firstHeaderRow="1" firstDataRow="1" firstDataCol="0"/>
  <pivotFields count="20">
    <pivotField dataField="1" showAll="0"/>
    <pivotField showAll="0"/>
    <pivotField showAll="0"/>
    <pivotField numFmtId="1" showAll="0"/>
    <pivotField showAll="0"/>
    <pivotField showAll="0"/>
    <pivotField showAll="0">
      <items count="4">
        <item x="0"/>
        <item x="1"/>
        <item x="2"/>
        <item t="default"/>
      </items>
    </pivotField>
    <pivotField showAll="0"/>
    <pivotField showAll="0">
      <items count="5">
        <item h="1" x="1"/>
        <item x="0"/>
        <item h="1" x="2"/>
        <item h="1" x="3"/>
        <item t="default"/>
      </items>
    </pivotField>
    <pivotField showAll="0">
      <items count="6">
        <item x="3"/>
        <item x="2"/>
        <item x="0"/>
        <item x="1"/>
        <item x="4"/>
        <item t="default"/>
      </items>
    </pivotField>
    <pivotField showAll="0">
      <items count="5">
        <item x="2"/>
        <item h="1" x="1"/>
        <item h="1" x="0"/>
        <item h="1" x="3"/>
        <item t="default"/>
      </items>
    </pivotField>
    <pivotField showAll="0"/>
    <pivotField showAll="0"/>
    <pivotField showAll="0">
      <items count="12">
        <item x="0"/>
        <item x="8"/>
        <item x="4"/>
        <item x="1"/>
        <item x="7"/>
        <item x="2"/>
        <item x="6"/>
        <item x="9"/>
        <item x="3"/>
        <item x="5"/>
        <item x="10"/>
        <item t="default"/>
      </items>
    </pivotField>
    <pivotField showAll="0"/>
    <pivotField showAll="0"/>
    <pivotField showAll="0"/>
    <pivotField showAll="0"/>
    <pivotField showAll="0"/>
    <pivotField showAll="0"/>
  </pivotFields>
  <rowItems count="1">
    <i/>
  </rowItems>
  <colItems count="1">
    <i/>
  </colItems>
  <dataFields count="1">
    <dataField name="Count of  Order ID" fld="0" subtotal="count" baseField="0" baseItem="0" numFmtId="1"/>
  </dataFields>
  <formats count="3">
    <format dxfId="0">
      <pivotArea field="13" type="button" dataOnly="0" labelOnly="1" outline="0"/>
    </format>
    <format dxfId="1">
      <pivotArea grandRow="1"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3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0:H31" firstHeaderRow="1" firstDataRow="1" firstDataCol="0"/>
  <pivotFields count="20">
    <pivotField showAll="0"/>
    <pivotField showAll="0"/>
    <pivotField showAll="0"/>
    <pivotField dataField="1" numFmtId="1" showAll="0"/>
    <pivotField showAll="0"/>
    <pivotField showAll="0"/>
    <pivotField showAll="0">
      <items count="4">
        <item x="0"/>
        <item x="1"/>
        <item x="2"/>
        <item t="default"/>
      </items>
    </pivotField>
    <pivotField showAll="0"/>
    <pivotField showAll="0">
      <items count="5">
        <item h="1" x="1"/>
        <item x="0"/>
        <item h="1" x="2"/>
        <item h="1" x="3"/>
        <item t="default"/>
      </items>
    </pivotField>
    <pivotField showAll="0">
      <items count="6">
        <item x="3"/>
        <item x="2"/>
        <item x="0"/>
        <item x="1"/>
        <item x="4"/>
        <item t="default"/>
      </items>
    </pivotField>
    <pivotField showAll="0">
      <items count="5">
        <item x="2"/>
        <item h="1" x="1"/>
        <item h="1" x="0"/>
        <item h="1" x="3"/>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ays" fld="3" subtotal="average" baseField="0" baseItem="992809776"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99C8BE-5A01-4F0A-A647-0CE8DD6810B8}"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0:F31" firstHeaderRow="1" firstDataRow="1" firstDataCol="0"/>
  <pivotFields count="20">
    <pivotField showAll="0"/>
    <pivotField showAll="0"/>
    <pivotField showAll="0"/>
    <pivotField numFmtId="1" showAll="0"/>
    <pivotField showAll="0"/>
    <pivotField showAll="0"/>
    <pivotField showAll="0">
      <items count="4">
        <item x="0"/>
        <item x="1"/>
        <item x="2"/>
        <item t="default"/>
      </items>
    </pivotField>
    <pivotField showAll="0"/>
    <pivotField showAll="0">
      <items count="5">
        <item h="1" x="1"/>
        <item x="0"/>
        <item h="1" x="2"/>
        <item h="1" x="3"/>
        <item t="default"/>
      </items>
    </pivotField>
    <pivotField showAll="0">
      <items count="6">
        <item x="3"/>
        <item x="2"/>
        <item x="0"/>
        <item x="1"/>
        <item x="4"/>
        <item t="default"/>
      </items>
    </pivotField>
    <pivotField showAll="0">
      <items count="5">
        <item x="2"/>
        <item h="1" x="1"/>
        <item h="1" x="0"/>
        <item h="1" x="3"/>
        <item t="default"/>
      </items>
    </pivotField>
    <pivotField showAll="0"/>
    <pivotField showAll="0"/>
    <pivotField showAll="0">
      <items count="12">
        <item x="0"/>
        <item x="8"/>
        <item x="4"/>
        <item x="1"/>
        <item x="7"/>
        <item x="2"/>
        <item x="6"/>
        <item x="9"/>
        <item x="3"/>
        <item x="5"/>
        <item x="10"/>
        <item t="default"/>
      </items>
    </pivotField>
    <pivotField showAll="0"/>
    <pivotField dataField="1" showAll="0"/>
    <pivotField showAll="0"/>
    <pivotField showAll="0"/>
    <pivotField showAll="0"/>
    <pivotField showAll="0"/>
  </pivotFields>
  <rowItems count="1">
    <i/>
  </rowItems>
  <colItems count="1">
    <i/>
  </colItems>
  <dataFields count="1">
    <dataField name="Sum of Profit" fld="15" baseField="0" baseItem="0" numFmtId="164"/>
  </dataFields>
  <formats count="3">
    <format dxfId="16">
      <pivotArea field="13" type="button" dataOnly="0" labelOnly="1" outline="0"/>
    </format>
    <format dxfId="17">
      <pivotArea grandRow="1" outline="0" collapsedLevelsAreSubtotals="1"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3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M3:O17" firstHeaderRow="1" firstDataRow="2" firstDataCol="1"/>
  <pivotFields count="20">
    <pivotField showAll="0"/>
    <pivotField showAll="0"/>
    <pivotField showAll="0"/>
    <pivotField numFmtId="1" showAll="0"/>
    <pivotField showAll="0"/>
    <pivotField axis="axisRow" showAll="0">
      <items count="13">
        <item x="8"/>
        <item x="1"/>
        <item x="3"/>
        <item x="11"/>
        <item x="0"/>
        <item x="4"/>
        <item x="5"/>
        <item x="10"/>
        <item x="7"/>
        <item x="2"/>
        <item x="6"/>
        <item x="9"/>
        <item t="default"/>
      </items>
    </pivotField>
    <pivotField axis="axisCol" showAll="0">
      <items count="4">
        <item x="0"/>
        <item x="1"/>
        <item x="2"/>
        <item t="default"/>
      </items>
    </pivotField>
    <pivotField showAll="0"/>
    <pivotField showAll="0">
      <items count="5">
        <item h="1" x="1"/>
        <item x="0"/>
        <item h="1" x="2"/>
        <item h="1" x="3"/>
        <item t="default"/>
      </items>
    </pivotField>
    <pivotField showAll="0">
      <items count="6">
        <item x="3"/>
        <item x="2"/>
        <item x="0"/>
        <item x="1"/>
        <item x="4"/>
        <item t="default"/>
      </items>
    </pivotField>
    <pivotField showAll="0">
      <items count="5">
        <item x="2"/>
        <item h="1" x="1"/>
        <item h="1" x="0"/>
        <item h="1" x="3"/>
        <item t="default"/>
      </items>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Fields count="1">
    <field x="6"/>
  </colFields>
  <colItems count="2">
    <i>
      <x/>
    </i>
    <i t="grand">
      <x/>
    </i>
  </colItems>
  <dataFields count="1">
    <dataField name="Sum of Profit" fld="15" baseField="0" baseItem="0" numFmtId="164"/>
  </dataFields>
  <formats count="1">
    <format dxfId="9">
      <pivotArea outline="0" collapsedLevelsAreSubtotals="1" fieldPosition="0"/>
    </format>
  </formats>
  <chartFormats count="18">
    <chartFormat chart="7" format="4" series="1">
      <pivotArea type="data" outline="0" fieldPosition="0">
        <references count="2">
          <reference field="4294967294" count="1" selected="0">
            <x v="0"/>
          </reference>
          <reference field="6" count="1" selected="0">
            <x v="0"/>
          </reference>
        </references>
      </pivotArea>
    </chartFormat>
    <chartFormat chart="7" format="5" series="1">
      <pivotArea type="data" outline="0" fieldPosition="0">
        <references count="2">
          <reference field="4294967294" count="1" selected="0">
            <x v="0"/>
          </reference>
          <reference field="6" count="1" selected="0">
            <x v="1"/>
          </reference>
        </references>
      </pivotArea>
    </chartFormat>
    <chartFormat chart="7" format="6" series="1">
      <pivotArea type="data" outline="0" fieldPosition="0">
        <references count="2">
          <reference field="4294967294" count="1" selected="0">
            <x v="0"/>
          </reference>
          <reference field="6" count="1" selected="0">
            <x v="2"/>
          </reference>
        </references>
      </pivotArea>
    </chartFormat>
    <chartFormat chart="7" format="7" series="1">
      <pivotArea type="data" outline="0" fieldPosition="0">
        <references count="1">
          <reference field="4294967294" count="1" selected="0">
            <x v="0"/>
          </reference>
        </references>
      </pivotArea>
    </chartFormat>
    <chartFormat chart="11" format="0" series="1">
      <pivotArea type="data" outline="0" fieldPosition="0">
        <references count="2">
          <reference field="4294967294" count="1" selected="0">
            <x v="0"/>
          </reference>
          <reference field="6" count="1" selected="0">
            <x v="0"/>
          </reference>
        </references>
      </pivotArea>
    </chartFormat>
    <chartFormat chart="11" format="1" series="1">
      <pivotArea type="data" outline="0" fieldPosition="0">
        <references count="2">
          <reference field="4294967294" count="1" selected="0">
            <x v="0"/>
          </reference>
          <reference field="6" count="1" selected="0">
            <x v="1"/>
          </reference>
        </references>
      </pivotArea>
    </chartFormat>
    <chartFormat chart="16" format="0" series="1">
      <pivotArea type="data" outline="0" fieldPosition="0">
        <references count="2">
          <reference field="4294967294" count="1" selected="0">
            <x v="0"/>
          </reference>
          <reference field="6" count="1" selected="0">
            <x v="0"/>
          </reference>
        </references>
      </pivotArea>
    </chartFormat>
    <chartFormat chart="16" format="1" series="1">
      <pivotArea type="data" outline="0" fieldPosition="0">
        <references count="2">
          <reference field="4294967294" count="1" selected="0">
            <x v="0"/>
          </reference>
          <reference field="6" count="1" selected="0">
            <x v="1"/>
          </reference>
        </references>
      </pivotArea>
    </chartFormat>
    <chartFormat chart="16"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4" format="0" series="1">
      <pivotArea type="data" outline="0" fieldPosition="0">
        <references count="2">
          <reference field="4294967294" count="1" selected="0">
            <x v="0"/>
          </reference>
          <reference field="6" count="1" selected="0">
            <x v="0"/>
          </reference>
        </references>
      </pivotArea>
    </chartFormat>
    <chartFormat chart="24" format="1" series="1">
      <pivotArea type="data" outline="0" fieldPosition="0">
        <references count="2">
          <reference field="4294967294" count="1" selected="0">
            <x v="0"/>
          </reference>
          <reference field="6" count="1" selected="0">
            <x v="1"/>
          </reference>
        </references>
      </pivotArea>
    </chartFormat>
    <chartFormat chart="25" format="2" series="1">
      <pivotArea type="data" outline="0" fieldPosition="0">
        <references count="2">
          <reference field="4294967294" count="1" selected="0">
            <x v="0"/>
          </reference>
          <reference field="6" count="1" selected="0">
            <x v="0"/>
          </reference>
        </references>
      </pivotArea>
    </chartFormat>
    <chartFormat chart="25" format="3" series="1">
      <pivotArea type="data" outline="0" fieldPosition="0">
        <references count="2">
          <reference field="4294967294" count="1" selected="0">
            <x v="0"/>
          </reference>
          <reference field="6" count="1" selected="0">
            <x v="1"/>
          </reference>
        </references>
      </pivotArea>
    </chartFormat>
    <chartFormat chart="24" format="2" series="1">
      <pivotArea type="data" outline="0" fieldPosition="0">
        <references count="1">
          <reference field="4294967294" count="1" selected="0">
            <x v="0"/>
          </reference>
        </references>
      </pivotArea>
    </chartFormat>
    <chartFormat chart="24" format="3" series="1">
      <pivotArea type="data" outline="0" fieldPosition="0">
        <references count="2">
          <reference field="4294967294" count="1" selected="0">
            <x v="0"/>
          </reference>
          <reference field="6" count="1" selected="0">
            <x v="2"/>
          </reference>
        </references>
      </pivotArea>
    </chartFormat>
    <chartFormat chart="16" format="3" series="1">
      <pivotArea type="data" outline="0" fieldPosition="0">
        <references count="2">
          <reference field="4294967294" count="1" selected="0">
            <x v="0"/>
          </reference>
          <reference field="6" count="1" selected="0">
            <x v="2"/>
          </reference>
        </references>
      </pivotArea>
    </chartFormat>
    <chartFormat chart="11" format="3"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3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14" firstHeaderRow="1" firstDataRow="1" firstDataCol="1"/>
  <pivotFields count="20">
    <pivotField showAll="0"/>
    <pivotField showAll="0"/>
    <pivotField showAll="0"/>
    <pivotField numFmtId="1" showAll="0"/>
    <pivotField showAll="0"/>
    <pivotField showAll="0"/>
    <pivotField showAll="0">
      <items count="4">
        <item x="0"/>
        <item x="1"/>
        <item x="2"/>
        <item t="default"/>
      </items>
    </pivotField>
    <pivotField showAll="0"/>
    <pivotField showAll="0">
      <items count="5">
        <item h="1" x="1"/>
        <item x="0"/>
        <item h="1" x="2"/>
        <item h="1" x="3"/>
        <item t="default"/>
      </items>
    </pivotField>
    <pivotField showAll="0">
      <items count="6">
        <item x="3"/>
        <item x="2"/>
        <item x="0"/>
        <item x="1"/>
        <item x="4"/>
        <item t="default"/>
      </items>
    </pivotField>
    <pivotField axis="axisRow" showAll="0">
      <items count="5">
        <item x="2"/>
        <item h="1" x="1"/>
        <item h="1" x="0"/>
        <item h="1" x="3"/>
        <item t="default"/>
      </items>
    </pivotField>
    <pivotField showAll="0"/>
    <pivotField showAll="0"/>
    <pivotField showAll="0"/>
    <pivotField showAll="0"/>
    <pivotField dataField="1" showAll="0"/>
    <pivotField showAll="0"/>
    <pivotField showAll="0"/>
    <pivotField showAll="0"/>
    <pivotField showAll="0"/>
  </pivotFields>
  <rowFields count="1">
    <field x="10"/>
  </rowFields>
  <rowItems count="2">
    <i>
      <x/>
    </i>
    <i t="grand">
      <x/>
    </i>
  </rowItems>
  <colItems count="1">
    <i/>
  </colItems>
  <dataFields count="1">
    <dataField name="Sum of Profit" fld="15" baseField="0" baseItem="0" numFmtId="164"/>
  </dataFields>
  <formats count="1">
    <format dxfId="1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15" name="PivotTable29"/>
    <pivotTable tabId="15" name="PivotTable31"/>
    <pivotTable tabId="15" name="PivotTable32"/>
    <pivotTable tabId="15" name="PivotTable33"/>
    <pivotTable tabId="15" name="PivotTable34"/>
    <pivotTable tabId="15" name="PivotTable35"/>
    <pivotTable tabId="15" name="PivotTable36"/>
    <pivotTable tabId="15" name="PivotTable37"/>
    <pivotTable tabId="15" name="PivotTable38"/>
    <pivotTable tabId="15" name="PivotTable39"/>
    <pivotTable tabId="2" name="PivotTable40"/>
    <pivotTable tabId="15" name="PivotTable1"/>
  </pivotTables>
  <data>
    <tabular pivotCacheId="1050534679">
      <items count="5">
        <i x="3" s="1"/>
        <i x="2" s="1"/>
        <i x="0"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2000000}" sourceName="YEAR">
  <pivotTables>
    <pivotTable tabId="15" name="PivotTable29"/>
    <pivotTable tabId="15" name="PivotTable31"/>
    <pivotTable tabId="15" name="PivotTable32"/>
    <pivotTable tabId="15" name="PivotTable33"/>
    <pivotTable tabId="15" name="PivotTable34"/>
    <pivotTable tabId="15" name="PivotTable35"/>
    <pivotTable tabId="15" name="PivotTable36"/>
    <pivotTable tabId="15" name="PivotTable37"/>
    <pivotTable tabId="15" name="PivotTable38"/>
    <pivotTable tabId="15" name="PivotTable39"/>
    <pivotTable tabId="15" name="PivotTable1"/>
  </pivotTables>
  <data>
    <tabular pivotCacheId="1050534679">
      <items count="3">
        <i x="0" s="1"/>
        <i x="1"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0000000-0013-0000-FFFF-FFFF04000000}" sourceName="Customer Segment">
  <pivotTables>
    <pivotTable tabId="15" name="PivotTable35"/>
    <pivotTable tabId="15" name="PivotTable29"/>
    <pivotTable tabId="15" name="PivotTable31"/>
    <pivotTable tabId="15" name="PivotTable32"/>
    <pivotTable tabId="15" name="PivotTable33"/>
    <pivotTable tabId="15" name="PivotTable34"/>
    <pivotTable tabId="15" name="PivotTable36"/>
    <pivotTable tabId="15" name="PivotTable37"/>
    <pivotTable tabId="15" name="PivotTable38"/>
    <pivotTable tabId="15" name="PivotTable39"/>
    <pivotTable tabId="15" name="PivotTable1"/>
    <pivotTable tabId="2" name="PivotTable40"/>
  </pivotTables>
  <data>
    <tabular pivotCacheId="1050534679">
      <items count="4">
        <i x="1"/>
        <i x="0" s="1"/>
        <i x="2"/>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15" name="PivotTable29"/>
    <pivotTable tabId="15" name="PivotTable31"/>
    <pivotTable tabId="15" name="PivotTable32"/>
    <pivotTable tabId="15" name="PivotTable33"/>
    <pivotTable tabId="15" name="PivotTable34"/>
    <pivotTable tabId="15" name="PivotTable35"/>
    <pivotTable tabId="15" name="PivotTable36"/>
    <pivotTable tabId="15" name="PivotTable37"/>
    <pivotTable tabId="15" name="PivotTable38"/>
    <pivotTable tabId="15" name="PivotTable39"/>
    <pivotTable tabId="15" name="PivotTable1"/>
    <pivotTable tabId="2" name="PivotTable40"/>
  </pivotTables>
  <data>
    <tabular pivotCacheId="1050534679">
      <items count="4">
        <i x="2" s="1"/>
        <i x="1"/>
        <i x="0"/>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241300"/>
  <slicer name="YEAR" xr10:uid="{00000000-0014-0000-FFFF-FFFF02000000}" cache="Slicer_YEAR" caption="YEAR" rowHeight="241300"/>
  <slicer name="Customer Segment" xr10:uid="{00000000-0014-0000-FFFF-FFFF04000000}" cache="Slicer_Customer_Segment" caption="Customer Segment" rowHeight="241300"/>
  <slicer name="Category" xr10:uid="{00000000-0014-0000-FFFF-FFFF03000000}"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502" totalsRowShown="0" headerRowDxfId="214">
  <autoFilter ref="A1:T502" xr:uid="{00000000-0009-0000-0100-000001000000}">
    <filterColumn colId="1">
      <customFilters>
        <customFilter operator="notEqual" val=" "/>
      </customFilters>
    </filterColumn>
  </autoFilter>
  <tableColumns count="20">
    <tableColumn id="1" xr3:uid="{00000000-0010-0000-0000-000001000000}" name=" Order ID" dataDxfId="213"/>
    <tableColumn id="2" xr3:uid="{00000000-0010-0000-0000-000002000000}" name="Order Date" dataDxfId="212"/>
    <tableColumn id="3" xr3:uid="{00000000-0010-0000-0000-000003000000}" name="Shipped date" dataDxfId="211"/>
    <tableColumn id="17" xr3:uid="{00000000-0010-0000-0000-000011000000}" name="Days" dataDxfId="210">
      <calculatedColumnFormula>Table1[[#This Row],[Shipped date]]-Table1[[#This Row],[Order Date]]</calculatedColumnFormula>
    </tableColumn>
    <tableColumn id="23" xr3:uid="{00000000-0010-0000-0000-000017000000}" name="Ship Mode" dataDxfId="209"/>
    <tableColumn id="20" xr3:uid="{00000000-0010-0000-0000-000014000000}" name=" Order Month" dataDxfId="208">
      <calculatedColumnFormula>TEXT(Table1[[#This Row],[Order Date]],"MMMM")</calculatedColumnFormula>
    </tableColumn>
    <tableColumn id="16" xr3:uid="{00000000-0010-0000-0000-000010000000}" name="YEAR" dataDxfId="207"/>
    <tableColumn id="21" xr3:uid="{00000000-0010-0000-0000-000015000000}" name="Quarter" dataDxfId="206"/>
    <tableColumn id="5" xr3:uid="{00000000-0010-0000-0000-000005000000}" name="Customer Segment" dataDxfId="205"/>
    <tableColumn id="6" xr3:uid="{00000000-0010-0000-0000-000006000000}" name="Region" dataDxfId="204"/>
    <tableColumn id="7" xr3:uid="{00000000-0010-0000-0000-000007000000}" name="Category" dataDxfId="203"/>
    <tableColumn id="8" xr3:uid="{00000000-0010-0000-0000-000008000000}" name="Sub-Category"/>
    <tableColumn id="9" xr3:uid="{00000000-0010-0000-0000-000009000000}" name="Sales" dataDxfId="202"/>
    <tableColumn id="10" xr3:uid="{00000000-0010-0000-0000-00000A000000}" name="Quantity" dataDxfId="201"/>
    <tableColumn id="11" xr3:uid="{00000000-0010-0000-0000-00000B000000}" name="Discount" dataDxfId="200"/>
    <tableColumn id="12" xr3:uid="{00000000-0010-0000-0000-00000C000000}" name="Profit" dataDxfId="199"/>
    <tableColumn id="24" xr3:uid="{00000000-0010-0000-0000-000018000000}" name="Profit Margin" dataDxfId="198">
      <calculatedColumnFormula>Table1[[#This Row],[Profit]]/Table1[[#This Row],[Sales]]</calculatedColumnFormula>
    </tableColumn>
    <tableColumn id="25" xr3:uid="{00000000-0010-0000-0000-000019000000}" name="profit Status" dataDxfId="197">
      <calculatedColumnFormula>IF(Table1[[#This Row],[Profit Margin]]&gt;0,"profit","loss")</calculatedColumnFormula>
    </tableColumn>
    <tableColumn id="26" xr3:uid="{00000000-0010-0000-0000-00001A000000}" name="Discount Band" dataDxfId="196">
      <calculatedColumnFormula>IF(Table1[[#This Row],[Discount]]=0,"No Discount",IF(Table1[[#This Row],[Discount]]&lt;=0.2,"low",IF(Table1[[#This Row],[Discount]]&lt;=0.3,"medium","high")))</calculatedColumnFormula>
    </tableColumn>
    <tableColumn id="27" xr3:uid="{00000000-0010-0000-0000-00001B000000}" name="Shipping Performance" dataDxfId="195">
      <calculatedColumnFormula>IF(Table1[[#This Row],[Days]]&lt;=2,"faster",IF(Table1[[#This Row],[Days]]&lt;=4,"Normal","slow"))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D1" sqref="D1:D501"/>
    </sheetView>
  </sheetViews>
  <sheetFormatPr defaultRowHeight="15" x14ac:dyDescent="0.25"/>
  <cols>
    <col min="1" max="1" width="9.5703125" customWidth="1"/>
    <col min="2" max="3" width="10.7109375" customWidth="1"/>
    <col min="4" max="4" width="13.85546875" customWidth="1"/>
    <col min="5" max="5" width="18.140625" customWidth="1"/>
    <col min="6" max="6" width="7.42578125" customWidth="1"/>
    <col min="7" max="7" width="14.5703125" customWidth="1"/>
    <col min="8" max="8" width="12.85546875" customWidth="1"/>
    <col min="9" max="9" width="7"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s="1">
        <v>45064</v>
      </c>
      <c r="C2" s="1">
        <v>45068</v>
      </c>
      <c r="D2" t="s">
        <v>13</v>
      </c>
      <c r="E2" t="s">
        <v>14</v>
      </c>
      <c r="F2" t="s">
        <v>15</v>
      </c>
      <c r="G2" t="s">
        <v>16</v>
      </c>
      <c r="H2" t="s">
        <v>17</v>
      </c>
      <c r="I2">
        <v>387.05</v>
      </c>
      <c r="J2">
        <v>1</v>
      </c>
      <c r="K2">
        <v>0</v>
      </c>
      <c r="L2">
        <v>31.55</v>
      </c>
    </row>
    <row r="3" spans="1:12" x14ac:dyDescent="0.25">
      <c r="A3" t="s">
        <v>18</v>
      </c>
      <c r="B3" s="1">
        <v>44974</v>
      </c>
      <c r="C3" s="1">
        <v>44980</v>
      </c>
      <c r="D3" t="s">
        <v>19</v>
      </c>
      <c r="E3" t="s">
        <v>20</v>
      </c>
      <c r="F3" t="s">
        <v>21</v>
      </c>
      <c r="G3" t="s">
        <v>22</v>
      </c>
      <c r="H3" t="s">
        <v>23</v>
      </c>
      <c r="I3">
        <v>784.1</v>
      </c>
      <c r="J3">
        <v>4</v>
      </c>
      <c r="K3">
        <v>0</v>
      </c>
      <c r="L3">
        <v>69.33</v>
      </c>
    </row>
    <row r="4" spans="1:12" x14ac:dyDescent="0.25">
      <c r="A4" t="s">
        <v>24</v>
      </c>
      <c r="B4" s="1">
        <v>45210</v>
      </c>
      <c r="C4" s="1">
        <v>45211</v>
      </c>
      <c r="D4" t="s">
        <v>25</v>
      </c>
      <c r="E4" t="s">
        <v>14</v>
      </c>
      <c r="F4" t="s">
        <v>26</v>
      </c>
      <c r="G4" t="s">
        <v>16</v>
      </c>
      <c r="H4" t="s">
        <v>17</v>
      </c>
      <c r="I4">
        <v>172.87</v>
      </c>
      <c r="J4">
        <v>6</v>
      </c>
      <c r="K4">
        <v>0.2</v>
      </c>
      <c r="L4">
        <v>-5.14</v>
      </c>
    </row>
    <row r="5" spans="1:12" x14ac:dyDescent="0.25">
      <c r="A5" t="s">
        <v>27</v>
      </c>
      <c r="B5" s="1">
        <v>44989</v>
      </c>
      <c r="C5" s="1">
        <v>44994</v>
      </c>
      <c r="D5" t="s">
        <v>28</v>
      </c>
      <c r="E5" t="s">
        <v>20</v>
      </c>
      <c r="F5" t="s">
        <v>21</v>
      </c>
      <c r="G5" t="s">
        <v>29</v>
      </c>
      <c r="H5" t="s">
        <v>30</v>
      </c>
      <c r="I5">
        <v>347.03</v>
      </c>
      <c r="J5">
        <v>4</v>
      </c>
      <c r="K5">
        <v>0.3</v>
      </c>
      <c r="L5">
        <v>-39.840000000000003</v>
      </c>
    </row>
    <row r="6" spans="1:12" x14ac:dyDescent="0.25">
      <c r="A6" t="s">
        <v>31</v>
      </c>
      <c r="B6" s="1">
        <v>44975</v>
      </c>
      <c r="C6" s="1">
        <v>44981</v>
      </c>
      <c r="D6" t="s">
        <v>19</v>
      </c>
      <c r="E6" t="s">
        <v>14</v>
      </c>
      <c r="F6" t="s">
        <v>32</v>
      </c>
      <c r="G6" t="s">
        <v>16</v>
      </c>
      <c r="H6" t="s">
        <v>33</v>
      </c>
      <c r="I6">
        <v>40.17</v>
      </c>
      <c r="J6">
        <v>9</v>
      </c>
      <c r="K6">
        <v>0.1</v>
      </c>
      <c r="L6">
        <v>30.54</v>
      </c>
    </row>
    <row r="7" spans="1:12" x14ac:dyDescent="0.25">
      <c r="A7" t="s">
        <v>34</v>
      </c>
      <c r="B7" s="1">
        <v>45097</v>
      </c>
      <c r="C7" s="1">
        <v>45102</v>
      </c>
      <c r="D7" t="s">
        <v>28</v>
      </c>
      <c r="E7" t="s">
        <v>20</v>
      </c>
      <c r="F7" t="s">
        <v>32</v>
      </c>
      <c r="G7" t="s">
        <v>22</v>
      </c>
      <c r="H7" t="s">
        <v>35</v>
      </c>
      <c r="I7">
        <v>939.78</v>
      </c>
      <c r="J7">
        <v>3</v>
      </c>
      <c r="K7">
        <v>0.1</v>
      </c>
      <c r="L7">
        <v>-7.27</v>
      </c>
    </row>
    <row r="8" spans="1:12" x14ac:dyDescent="0.25">
      <c r="A8" t="s">
        <v>36</v>
      </c>
      <c r="B8" s="1">
        <v>45122</v>
      </c>
      <c r="C8" s="1">
        <v>45124</v>
      </c>
      <c r="D8" t="s">
        <v>19</v>
      </c>
      <c r="E8" t="s">
        <v>37</v>
      </c>
      <c r="F8" t="s">
        <v>32</v>
      </c>
      <c r="G8" t="s">
        <v>16</v>
      </c>
      <c r="H8" t="s">
        <v>38</v>
      </c>
      <c r="I8">
        <v>199.74</v>
      </c>
      <c r="J8">
        <v>1</v>
      </c>
      <c r="K8">
        <v>0.3</v>
      </c>
      <c r="L8">
        <v>-17.13</v>
      </c>
    </row>
    <row r="9" spans="1:12" x14ac:dyDescent="0.25">
      <c r="A9" t="s">
        <v>39</v>
      </c>
      <c r="B9" s="1">
        <v>44963</v>
      </c>
      <c r="C9" s="1">
        <v>44964</v>
      </c>
      <c r="D9" t="s">
        <v>25</v>
      </c>
      <c r="E9" t="s">
        <v>14</v>
      </c>
      <c r="F9" t="s">
        <v>32</v>
      </c>
      <c r="G9" t="s">
        <v>22</v>
      </c>
      <c r="H9" t="s">
        <v>40</v>
      </c>
      <c r="I9">
        <v>26.92</v>
      </c>
      <c r="J9">
        <v>4</v>
      </c>
      <c r="K9">
        <v>0</v>
      </c>
      <c r="L9">
        <v>3.08</v>
      </c>
    </row>
    <row r="10" spans="1:12" x14ac:dyDescent="0.25">
      <c r="A10" t="s">
        <v>41</v>
      </c>
      <c r="B10" s="1">
        <v>45226</v>
      </c>
      <c r="C10" s="1">
        <v>45227</v>
      </c>
      <c r="D10" t="s">
        <v>28</v>
      </c>
      <c r="E10" t="s">
        <v>14</v>
      </c>
      <c r="F10" t="s">
        <v>21</v>
      </c>
      <c r="G10" t="s">
        <v>16</v>
      </c>
      <c r="H10" t="s">
        <v>33</v>
      </c>
      <c r="I10">
        <v>619.62</v>
      </c>
      <c r="J10">
        <v>10</v>
      </c>
      <c r="K10">
        <v>0.1</v>
      </c>
      <c r="L10">
        <v>-16.73</v>
      </c>
    </row>
    <row r="11" spans="1:12" x14ac:dyDescent="0.25">
      <c r="A11" t="s">
        <v>42</v>
      </c>
      <c r="B11" s="1">
        <v>45068</v>
      </c>
      <c r="C11" s="1">
        <v>45072</v>
      </c>
      <c r="D11" t="s">
        <v>13</v>
      </c>
      <c r="E11" t="s">
        <v>14</v>
      </c>
      <c r="F11" t="s">
        <v>15</v>
      </c>
      <c r="G11" t="s">
        <v>29</v>
      </c>
      <c r="H11" t="s">
        <v>43</v>
      </c>
      <c r="I11">
        <v>974.28</v>
      </c>
      <c r="J11">
        <v>7</v>
      </c>
      <c r="K11">
        <v>0.2</v>
      </c>
      <c r="L11">
        <v>-85.5</v>
      </c>
    </row>
    <row r="12" spans="1:12" x14ac:dyDescent="0.25">
      <c r="A12" t="s">
        <v>44</v>
      </c>
      <c r="B12" s="1">
        <v>45138</v>
      </c>
      <c r="C12" s="1">
        <v>45142</v>
      </c>
      <c r="D12" t="s">
        <v>28</v>
      </c>
      <c r="E12" t="s">
        <v>20</v>
      </c>
      <c r="F12" t="s">
        <v>21</v>
      </c>
      <c r="G12" t="s">
        <v>29</v>
      </c>
      <c r="H12" t="s">
        <v>45</v>
      </c>
      <c r="I12">
        <v>789.47</v>
      </c>
      <c r="J12">
        <v>5</v>
      </c>
      <c r="K12">
        <v>0.2</v>
      </c>
      <c r="L12">
        <v>-72.17</v>
      </c>
    </row>
    <row r="13" spans="1:12" x14ac:dyDescent="0.25">
      <c r="A13" t="s">
        <v>46</v>
      </c>
      <c r="B13" s="1">
        <v>45076</v>
      </c>
      <c r="C13" s="1">
        <v>45079</v>
      </c>
      <c r="D13" t="s">
        <v>13</v>
      </c>
      <c r="E13" t="s">
        <v>14</v>
      </c>
      <c r="F13" t="s">
        <v>26</v>
      </c>
      <c r="G13" t="s">
        <v>16</v>
      </c>
      <c r="H13" t="s">
        <v>38</v>
      </c>
      <c r="I13">
        <v>983.57</v>
      </c>
      <c r="J13">
        <v>5</v>
      </c>
      <c r="K13">
        <v>0</v>
      </c>
      <c r="L13">
        <v>81.61</v>
      </c>
    </row>
    <row r="14" spans="1:12" x14ac:dyDescent="0.25">
      <c r="A14" t="s">
        <v>47</v>
      </c>
      <c r="B14" s="1">
        <v>45207</v>
      </c>
      <c r="C14" s="1">
        <v>45210</v>
      </c>
      <c r="D14" t="s">
        <v>13</v>
      </c>
      <c r="E14" t="s">
        <v>37</v>
      </c>
      <c r="F14" t="s">
        <v>21</v>
      </c>
      <c r="G14" t="s">
        <v>22</v>
      </c>
      <c r="H14" t="s">
        <v>40</v>
      </c>
      <c r="I14">
        <v>615.39</v>
      </c>
      <c r="J14">
        <v>2</v>
      </c>
      <c r="K14">
        <v>0</v>
      </c>
      <c r="L14">
        <v>73.069999999999993</v>
      </c>
    </row>
    <row r="15" spans="1:12" x14ac:dyDescent="0.25">
      <c r="A15" t="s">
        <v>48</v>
      </c>
      <c r="B15" s="1">
        <v>45231</v>
      </c>
      <c r="C15" s="1">
        <v>45233</v>
      </c>
      <c r="D15" t="s">
        <v>19</v>
      </c>
      <c r="E15" t="s">
        <v>37</v>
      </c>
      <c r="F15" t="s">
        <v>21</v>
      </c>
      <c r="G15" t="s">
        <v>22</v>
      </c>
      <c r="H15" t="s">
        <v>35</v>
      </c>
      <c r="I15">
        <v>33</v>
      </c>
      <c r="J15">
        <v>5</v>
      </c>
      <c r="K15">
        <v>0</v>
      </c>
      <c r="L15">
        <v>50.89</v>
      </c>
    </row>
    <row r="16" spans="1:12" x14ac:dyDescent="0.25">
      <c r="A16" t="s">
        <v>49</v>
      </c>
      <c r="B16" s="1">
        <v>45002</v>
      </c>
      <c r="C16" s="1">
        <v>45003</v>
      </c>
      <c r="D16" t="s">
        <v>28</v>
      </c>
      <c r="E16" t="s">
        <v>37</v>
      </c>
      <c r="F16" t="s">
        <v>32</v>
      </c>
      <c r="G16" t="s">
        <v>29</v>
      </c>
      <c r="H16" t="s">
        <v>45</v>
      </c>
      <c r="I16">
        <v>812.23</v>
      </c>
      <c r="J16">
        <v>2</v>
      </c>
      <c r="K16">
        <v>0</v>
      </c>
      <c r="L16">
        <v>62.34</v>
      </c>
    </row>
    <row r="17" spans="1:12" x14ac:dyDescent="0.25">
      <c r="A17" t="s">
        <v>50</v>
      </c>
      <c r="B17" s="1">
        <v>45131</v>
      </c>
      <c r="C17" s="1">
        <v>45133</v>
      </c>
      <c r="D17" t="s">
        <v>19</v>
      </c>
      <c r="E17" t="s">
        <v>14</v>
      </c>
      <c r="F17" t="s">
        <v>26</v>
      </c>
      <c r="G17" t="s">
        <v>29</v>
      </c>
      <c r="H17" t="s">
        <v>45</v>
      </c>
      <c r="I17">
        <v>246.28</v>
      </c>
      <c r="J17">
        <v>4</v>
      </c>
      <c r="K17">
        <v>0.3</v>
      </c>
      <c r="L17">
        <v>-38.450000000000003</v>
      </c>
    </row>
    <row r="18" spans="1:12" x14ac:dyDescent="0.25">
      <c r="A18" t="s">
        <v>51</v>
      </c>
      <c r="B18" s="1">
        <v>45229</v>
      </c>
      <c r="C18" s="1">
        <v>45232</v>
      </c>
      <c r="D18" t="s">
        <v>13</v>
      </c>
      <c r="E18" t="s">
        <v>20</v>
      </c>
      <c r="F18" t="s">
        <v>21</v>
      </c>
      <c r="G18" t="s">
        <v>16</v>
      </c>
      <c r="H18" t="s">
        <v>38</v>
      </c>
      <c r="I18">
        <v>139.6</v>
      </c>
      <c r="J18">
        <v>9</v>
      </c>
      <c r="K18">
        <v>0</v>
      </c>
      <c r="L18">
        <v>52.28</v>
      </c>
    </row>
    <row r="19" spans="1:12" x14ac:dyDescent="0.25">
      <c r="A19" t="s">
        <v>52</v>
      </c>
      <c r="B19" s="1">
        <v>45197</v>
      </c>
      <c r="C19" s="1">
        <v>45203</v>
      </c>
      <c r="D19" t="s">
        <v>19</v>
      </c>
      <c r="E19" t="s">
        <v>37</v>
      </c>
      <c r="F19" t="s">
        <v>15</v>
      </c>
      <c r="G19" t="s">
        <v>29</v>
      </c>
      <c r="H19" t="s">
        <v>43</v>
      </c>
      <c r="I19">
        <v>189.9</v>
      </c>
      <c r="J19">
        <v>2</v>
      </c>
      <c r="K19">
        <v>0</v>
      </c>
      <c r="L19">
        <v>17.100000000000001</v>
      </c>
    </row>
    <row r="20" spans="1:12" x14ac:dyDescent="0.25">
      <c r="A20" t="s">
        <v>53</v>
      </c>
      <c r="B20" s="1">
        <v>44938</v>
      </c>
      <c r="C20" s="1">
        <v>44940</v>
      </c>
      <c r="D20" t="s">
        <v>25</v>
      </c>
      <c r="E20" t="s">
        <v>37</v>
      </c>
      <c r="F20" t="s">
        <v>21</v>
      </c>
      <c r="G20" t="s">
        <v>22</v>
      </c>
      <c r="H20" t="s">
        <v>23</v>
      </c>
      <c r="I20">
        <v>669.27</v>
      </c>
      <c r="J20">
        <v>5</v>
      </c>
      <c r="K20">
        <v>0.1</v>
      </c>
      <c r="L20">
        <v>9.76</v>
      </c>
    </row>
    <row r="21" spans="1:12" x14ac:dyDescent="0.25">
      <c r="A21" t="s">
        <v>54</v>
      </c>
      <c r="B21" s="1">
        <v>45096</v>
      </c>
      <c r="C21" s="1">
        <v>45102</v>
      </c>
      <c r="D21" t="s">
        <v>25</v>
      </c>
      <c r="E21" t="s">
        <v>20</v>
      </c>
      <c r="F21" t="s">
        <v>32</v>
      </c>
      <c r="G21" t="s">
        <v>22</v>
      </c>
      <c r="H21" t="s">
        <v>23</v>
      </c>
      <c r="I21">
        <v>223.78</v>
      </c>
      <c r="J21">
        <v>10</v>
      </c>
      <c r="K21">
        <v>0.3</v>
      </c>
      <c r="L21">
        <v>-51.82</v>
      </c>
    </row>
    <row r="22" spans="1:12" x14ac:dyDescent="0.25">
      <c r="A22" t="s">
        <v>55</v>
      </c>
      <c r="B22" s="1">
        <v>45262</v>
      </c>
      <c r="C22" s="1">
        <v>45268</v>
      </c>
      <c r="D22" t="s">
        <v>28</v>
      </c>
      <c r="E22" t="s">
        <v>20</v>
      </c>
      <c r="F22" t="s">
        <v>32</v>
      </c>
      <c r="G22" t="s">
        <v>29</v>
      </c>
      <c r="H22" t="s">
        <v>30</v>
      </c>
      <c r="I22">
        <v>970.19</v>
      </c>
      <c r="J22">
        <v>5</v>
      </c>
      <c r="K22">
        <v>0.1</v>
      </c>
      <c r="L22">
        <v>11.48</v>
      </c>
    </row>
    <row r="23" spans="1:12" x14ac:dyDescent="0.25">
      <c r="A23" t="s">
        <v>56</v>
      </c>
      <c r="B23" s="1">
        <v>44991</v>
      </c>
      <c r="C23" s="1">
        <v>44998</v>
      </c>
      <c r="D23" t="s">
        <v>25</v>
      </c>
      <c r="E23" t="s">
        <v>37</v>
      </c>
      <c r="F23" t="s">
        <v>26</v>
      </c>
      <c r="G23" t="s">
        <v>22</v>
      </c>
      <c r="H23" t="s">
        <v>35</v>
      </c>
      <c r="I23">
        <v>407.25</v>
      </c>
      <c r="J23">
        <v>3</v>
      </c>
      <c r="K23">
        <v>0.3</v>
      </c>
      <c r="L23">
        <v>-59.6</v>
      </c>
    </row>
    <row r="24" spans="1:12" x14ac:dyDescent="0.25">
      <c r="A24" t="s">
        <v>57</v>
      </c>
      <c r="B24" s="1">
        <v>45070</v>
      </c>
      <c r="C24" s="1">
        <v>45074</v>
      </c>
      <c r="D24" t="s">
        <v>13</v>
      </c>
      <c r="E24" t="s">
        <v>37</v>
      </c>
      <c r="F24" t="s">
        <v>15</v>
      </c>
      <c r="G24" t="s">
        <v>29</v>
      </c>
      <c r="H24" t="s">
        <v>43</v>
      </c>
      <c r="I24">
        <v>923.44</v>
      </c>
      <c r="J24">
        <v>6</v>
      </c>
      <c r="K24">
        <v>0.3</v>
      </c>
      <c r="L24">
        <v>-164.76</v>
      </c>
    </row>
    <row r="25" spans="1:12" x14ac:dyDescent="0.25">
      <c r="A25" t="s">
        <v>58</v>
      </c>
      <c r="B25" s="1">
        <v>45177</v>
      </c>
      <c r="C25" s="1">
        <v>45179</v>
      </c>
      <c r="D25" t="s">
        <v>25</v>
      </c>
      <c r="E25" t="s">
        <v>14</v>
      </c>
      <c r="F25" t="s">
        <v>15</v>
      </c>
      <c r="G25" t="s">
        <v>16</v>
      </c>
      <c r="H25" t="s">
        <v>33</v>
      </c>
      <c r="I25">
        <v>530.41999999999996</v>
      </c>
      <c r="J25">
        <v>4</v>
      </c>
      <c r="K25">
        <v>0.1</v>
      </c>
      <c r="L25">
        <v>2.77</v>
      </c>
    </row>
    <row r="26" spans="1:12" x14ac:dyDescent="0.25">
      <c r="A26" t="s">
        <v>59</v>
      </c>
      <c r="B26" s="1">
        <v>45002</v>
      </c>
      <c r="C26" s="1">
        <v>45004</v>
      </c>
      <c r="D26" t="s">
        <v>28</v>
      </c>
      <c r="E26" t="s">
        <v>14</v>
      </c>
      <c r="F26" t="s">
        <v>26</v>
      </c>
      <c r="G26" t="s">
        <v>29</v>
      </c>
      <c r="H26" t="s">
        <v>45</v>
      </c>
      <c r="I26">
        <v>400.9</v>
      </c>
      <c r="J26">
        <v>10</v>
      </c>
      <c r="K26">
        <v>0.1</v>
      </c>
      <c r="L26">
        <v>17.78</v>
      </c>
    </row>
    <row r="27" spans="1:12" x14ac:dyDescent="0.25">
      <c r="A27" t="s">
        <v>60</v>
      </c>
      <c r="B27" s="1">
        <v>45067</v>
      </c>
      <c r="C27" s="1">
        <v>45069</v>
      </c>
      <c r="D27" t="s">
        <v>13</v>
      </c>
      <c r="E27" t="s">
        <v>14</v>
      </c>
      <c r="F27" t="s">
        <v>21</v>
      </c>
      <c r="G27" t="s">
        <v>22</v>
      </c>
      <c r="H27" t="s">
        <v>23</v>
      </c>
      <c r="I27">
        <v>595.02</v>
      </c>
      <c r="J27">
        <v>1</v>
      </c>
      <c r="K27">
        <v>0</v>
      </c>
      <c r="L27">
        <v>59.17</v>
      </c>
    </row>
    <row r="28" spans="1:12" x14ac:dyDescent="0.25">
      <c r="A28" t="s">
        <v>61</v>
      </c>
      <c r="B28" s="1">
        <v>45227</v>
      </c>
      <c r="C28" s="1">
        <v>45231</v>
      </c>
      <c r="D28" t="s">
        <v>25</v>
      </c>
      <c r="E28" t="s">
        <v>37</v>
      </c>
      <c r="F28" t="s">
        <v>15</v>
      </c>
      <c r="G28" t="s">
        <v>16</v>
      </c>
      <c r="H28" t="s">
        <v>17</v>
      </c>
      <c r="I28">
        <v>551.84</v>
      </c>
      <c r="J28">
        <v>1</v>
      </c>
      <c r="K28">
        <v>0</v>
      </c>
      <c r="L28">
        <v>55.92</v>
      </c>
    </row>
    <row r="29" spans="1:12" x14ac:dyDescent="0.25">
      <c r="A29" t="s">
        <v>62</v>
      </c>
      <c r="B29" s="1">
        <v>44991</v>
      </c>
      <c r="C29" s="1">
        <v>44995</v>
      </c>
      <c r="D29" t="s">
        <v>25</v>
      </c>
      <c r="E29" t="s">
        <v>14</v>
      </c>
      <c r="F29" t="s">
        <v>15</v>
      </c>
      <c r="G29" t="s">
        <v>16</v>
      </c>
      <c r="H29" t="s">
        <v>17</v>
      </c>
      <c r="I29">
        <v>181.96</v>
      </c>
      <c r="J29">
        <v>4</v>
      </c>
      <c r="K29">
        <v>0</v>
      </c>
      <c r="L29">
        <v>67.28</v>
      </c>
    </row>
    <row r="30" spans="1:12" x14ac:dyDescent="0.25">
      <c r="A30" t="s">
        <v>63</v>
      </c>
      <c r="B30" s="1">
        <v>45249</v>
      </c>
      <c r="C30" s="1">
        <v>45256</v>
      </c>
      <c r="D30" t="s">
        <v>13</v>
      </c>
      <c r="E30" t="s">
        <v>20</v>
      </c>
      <c r="F30" t="s">
        <v>32</v>
      </c>
      <c r="G30" t="s">
        <v>16</v>
      </c>
      <c r="H30" t="s">
        <v>38</v>
      </c>
      <c r="I30">
        <v>776.8</v>
      </c>
      <c r="J30">
        <v>3</v>
      </c>
      <c r="K30">
        <v>0.3</v>
      </c>
      <c r="L30">
        <v>-154.82</v>
      </c>
    </row>
    <row r="31" spans="1:12" x14ac:dyDescent="0.25">
      <c r="A31" t="s">
        <v>64</v>
      </c>
      <c r="B31" s="1">
        <v>45233</v>
      </c>
      <c r="C31" s="1">
        <v>45238</v>
      </c>
      <c r="D31" t="s">
        <v>13</v>
      </c>
      <c r="E31" t="s">
        <v>37</v>
      </c>
      <c r="F31" t="s">
        <v>21</v>
      </c>
      <c r="G31" t="s">
        <v>22</v>
      </c>
      <c r="H31" t="s">
        <v>35</v>
      </c>
      <c r="I31">
        <v>33.799999999999997</v>
      </c>
      <c r="J31">
        <v>2</v>
      </c>
      <c r="K31">
        <v>0.2</v>
      </c>
      <c r="L31">
        <v>26.1</v>
      </c>
    </row>
    <row r="32" spans="1:12" x14ac:dyDescent="0.25">
      <c r="A32" t="s">
        <v>65</v>
      </c>
      <c r="B32" s="1">
        <v>45006</v>
      </c>
      <c r="C32" s="1">
        <v>45009</v>
      </c>
      <c r="D32" t="s">
        <v>25</v>
      </c>
      <c r="E32" t="s">
        <v>14</v>
      </c>
      <c r="F32" t="s">
        <v>26</v>
      </c>
      <c r="G32" t="s">
        <v>22</v>
      </c>
      <c r="H32" t="s">
        <v>40</v>
      </c>
      <c r="I32">
        <v>734.43</v>
      </c>
      <c r="J32">
        <v>1</v>
      </c>
      <c r="K32">
        <v>0</v>
      </c>
      <c r="L32">
        <v>95.86</v>
      </c>
    </row>
    <row r="33" spans="1:12" x14ac:dyDescent="0.25">
      <c r="A33" t="s">
        <v>66</v>
      </c>
      <c r="B33" s="1">
        <v>44946</v>
      </c>
      <c r="C33" s="1">
        <v>44952</v>
      </c>
      <c r="D33" t="s">
        <v>28</v>
      </c>
      <c r="E33" t="s">
        <v>37</v>
      </c>
      <c r="F33" t="s">
        <v>32</v>
      </c>
      <c r="G33" t="s">
        <v>22</v>
      </c>
      <c r="H33" t="s">
        <v>23</v>
      </c>
      <c r="I33">
        <v>927.77</v>
      </c>
      <c r="J33">
        <v>8</v>
      </c>
      <c r="K33">
        <v>0.1</v>
      </c>
      <c r="L33">
        <v>-11.89</v>
      </c>
    </row>
    <row r="34" spans="1:12" x14ac:dyDescent="0.25">
      <c r="A34" t="s">
        <v>67</v>
      </c>
      <c r="B34" s="1">
        <v>45220</v>
      </c>
      <c r="C34" s="1">
        <v>45225</v>
      </c>
      <c r="D34" t="s">
        <v>25</v>
      </c>
      <c r="E34" t="s">
        <v>37</v>
      </c>
      <c r="F34" t="s">
        <v>21</v>
      </c>
      <c r="G34" t="s">
        <v>16</v>
      </c>
      <c r="H34" t="s">
        <v>38</v>
      </c>
      <c r="I34">
        <v>865.84</v>
      </c>
      <c r="J34">
        <v>7</v>
      </c>
      <c r="K34">
        <v>0.3</v>
      </c>
      <c r="L34">
        <v>-161.71</v>
      </c>
    </row>
    <row r="35" spans="1:12" x14ac:dyDescent="0.25">
      <c r="A35" t="s">
        <v>68</v>
      </c>
      <c r="B35" s="1">
        <v>45272</v>
      </c>
      <c r="C35" s="1">
        <v>45279</v>
      </c>
      <c r="D35" t="s">
        <v>28</v>
      </c>
      <c r="E35" t="s">
        <v>37</v>
      </c>
      <c r="F35" t="s">
        <v>26</v>
      </c>
      <c r="G35" t="s">
        <v>22</v>
      </c>
      <c r="H35" t="s">
        <v>35</v>
      </c>
      <c r="I35">
        <v>113.5</v>
      </c>
      <c r="J35">
        <v>3</v>
      </c>
      <c r="K35">
        <v>0.2</v>
      </c>
      <c r="L35">
        <v>-9.58</v>
      </c>
    </row>
    <row r="36" spans="1:12" x14ac:dyDescent="0.25">
      <c r="A36" t="s">
        <v>69</v>
      </c>
      <c r="B36" s="1">
        <v>45074</v>
      </c>
      <c r="C36" s="1">
        <v>45078</v>
      </c>
      <c r="D36" t="s">
        <v>19</v>
      </c>
      <c r="E36" t="s">
        <v>37</v>
      </c>
      <c r="F36" t="s">
        <v>21</v>
      </c>
      <c r="G36" t="s">
        <v>22</v>
      </c>
      <c r="H36" t="s">
        <v>23</v>
      </c>
      <c r="I36">
        <v>338.68</v>
      </c>
      <c r="J36">
        <v>2</v>
      </c>
      <c r="K36">
        <v>0.2</v>
      </c>
      <c r="L36">
        <v>-12.48</v>
      </c>
    </row>
    <row r="37" spans="1:12" x14ac:dyDescent="0.25">
      <c r="A37" t="s">
        <v>70</v>
      </c>
      <c r="B37" s="1">
        <v>45106</v>
      </c>
      <c r="C37" s="1">
        <v>45108</v>
      </c>
      <c r="D37" t="s">
        <v>19</v>
      </c>
      <c r="E37" t="s">
        <v>20</v>
      </c>
      <c r="F37" t="s">
        <v>15</v>
      </c>
      <c r="G37" t="s">
        <v>22</v>
      </c>
      <c r="H37" t="s">
        <v>35</v>
      </c>
      <c r="I37">
        <v>289.23</v>
      </c>
      <c r="J37">
        <v>10</v>
      </c>
      <c r="K37">
        <v>0.2</v>
      </c>
      <c r="L37">
        <v>-15.87</v>
      </c>
    </row>
    <row r="38" spans="1:12" x14ac:dyDescent="0.25">
      <c r="A38" t="s">
        <v>71</v>
      </c>
      <c r="B38" s="1">
        <v>45179</v>
      </c>
      <c r="C38" s="1">
        <v>45181</v>
      </c>
      <c r="D38" t="s">
        <v>13</v>
      </c>
      <c r="E38" t="s">
        <v>37</v>
      </c>
      <c r="F38" t="s">
        <v>26</v>
      </c>
      <c r="G38" t="s">
        <v>29</v>
      </c>
      <c r="H38" t="s">
        <v>43</v>
      </c>
      <c r="I38">
        <v>137.19999999999999</v>
      </c>
      <c r="J38">
        <v>9</v>
      </c>
      <c r="K38">
        <v>0.1</v>
      </c>
      <c r="L38">
        <v>39.42</v>
      </c>
    </row>
    <row r="39" spans="1:12" x14ac:dyDescent="0.25">
      <c r="A39" t="s">
        <v>72</v>
      </c>
      <c r="B39" s="1">
        <v>45140</v>
      </c>
      <c r="C39" s="1">
        <v>45145</v>
      </c>
      <c r="D39" t="s">
        <v>25</v>
      </c>
      <c r="E39" t="s">
        <v>14</v>
      </c>
      <c r="F39" t="s">
        <v>26</v>
      </c>
      <c r="G39" t="s">
        <v>29</v>
      </c>
      <c r="H39" t="s">
        <v>45</v>
      </c>
      <c r="I39">
        <v>727.29</v>
      </c>
      <c r="J39">
        <v>6</v>
      </c>
      <c r="K39">
        <v>0.2</v>
      </c>
      <c r="L39">
        <v>-38.76</v>
      </c>
    </row>
    <row r="40" spans="1:12" x14ac:dyDescent="0.25">
      <c r="A40" t="s">
        <v>73</v>
      </c>
      <c r="B40" s="1">
        <v>45103</v>
      </c>
      <c r="C40" s="1">
        <v>45108</v>
      </c>
      <c r="D40" t="s">
        <v>19</v>
      </c>
      <c r="E40" t="s">
        <v>20</v>
      </c>
      <c r="F40" t="s">
        <v>15</v>
      </c>
      <c r="G40" t="s">
        <v>29</v>
      </c>
      <c r="H40" t="s">
        <v>45</v>
      </c>
      <c r="I40">
        <v>503.92</v>
      </c>
      <c r="J40">
        <v>4</v>
      </c>
      <c r="K40">
        <v>0</v>
      </c>
      <c r="L40">
        <v>80.14</v>
      </c>
    </row>
    <row r="41" spans="1:12" x14ac:dyDescent="0.25">
      <c r="A41" t="s">
        <v>74</v>
      </c>
      <c r="B41" s="1">
        <v>44997</v>
      </c>
      <c r="C41" s="1">
        <v>44998</v>
      </c>
      <c r="D41" t="s">
        <v>25</v>
      </c>
      <c r="E41" t="s">
        <v>14</v>
      </c>
      <c r="F41" t="s">
        <v>15</v>
      </c>
      <c r="G41" t="s">
        <v>22</v>
      </c>
      <c r="H41" t="s">
        <v>40</v>
      </c>
      <c r="I41">
        <v>128.66999999999999</v>
      </c>
      <c r="J41">
        <v>4</v>
      </c>
      <c r="K41">
        <v>0.3</v>
      </c>
      <c r="L41">
        <v>-38.18</v>
      </c>
    </row>
    <row r="42" spans="1:12" x14ac:dyDescent="0.25">
      <c r="A42" t="s">
        <v>75</v>
      </c>
      <c r="B42" s="1">
        <v>45138</v>
      </c>
      <c r="C42" s="1">
        <v>45142</v>
      </c>
      <c r="D42" t="s">
        <v>13</v>
      </c>
      <c r="E42" t="s">
        <v>14</v>
      </c>
      <c r="F42" t="s">
        <v>15</v>
      </c>
      <c r="G42" t="s">
        <v>22</v>
      </c>
      <c r="H42" t="s">
        <v>23</v>
      </c>
      <c r="I42">
        <v>50.8</v>
      </c>
      <c r="J42">
        <v>4</v>
      </c>
      <c r="K42">
        <v>0.2</v>
      </c>
      <c r="L42">
        <v>8.1999999999999993</v>
      </c>
    </row>
    <row r="43" spans="1:12" x14ac:dyDescent="0.25">
      <c r="A43" t="s">
        <v>76</v>
      </c>
      <c r="B43" s="1">
        <v>44981</v>
      </c>
      <c r="C43" s="1">
        <v>44987</v>
      </c>
      <c r="D43" t="s">
        <v>19</v>
      </c>
      <c r="E43" t="s">
        <v>37</v>
      </c>
      <c r="F43" t="s">
        <v>21</v>
      </c>
      <c r="G43" t="s">
        <v>22</v>
      </c>
      <c r="H43" t="s">
        <v>40</v>
      </c>
      <c r="I43">
        <v>572.01</v>
      </c>
      <c r="J43">
        <v>5</v>
      </c>
      <c r="K43">
        <v>0.3</v>
      </c>
      <c r="L43">
        <v>-70.87</v>
      </c>
    </row>
    <row r="44" spans="1:12" x14ac:dyDescent="0.25">
      <c r="A44" t="s">
        <v>77</v>
      </c>
      <c r="B44" s="1">
        <v>45240</v>
      </c>
      <c r="C44" s="1">
        <v>45244</v>
      </c>
      <c r="D44" t="s">
        <v>13</v>
      </c>
      <c r="E44" t="s">
        <v>14</v>
      </c>
      <c r="F44" t="s">
        <v>15</v>
      </c>
      <c r="G44" t="s">
        <v>22</v>
      </c>
      <c r="H44" t="s">
        <v>23</v>
      </c>
      <c r="I44">
        <v>264.31</v>
      </c>
      <c r="J44">
        <v>5</v>
      </c>
      <c r="K44">
        <v>0</v>
      </c>
      <c r="L44">
        <v>44.22</v>
      </c>
    </row>
    <row r="45" spans="1:12" x14ac:dyDescent="0.25">
      <c r="A45" t="s">
        <v>78</v>
      </c>
      <c r="B45" s="1">
        <v>44934</v>
      </c>
      <c r="C45" s="1">
        <v>44937</v>
      </c>
      <c r="D45" t="s">
        <v>13</v>
      </c>
      <c r="E45" t="s">
        <v>20</v>
      </c>
      <c r="F45" t="s">
        <v>15</v>
      </c>
      <c r="G45" t="s">
        <v>29</v>
      </c>
      <c r="H45" t="s">
        <v>43</v>
      </c>
      <c r="I45">
        <v>219</v>
      </c>
      <c r="J45">
        <v>4</v>
      </c>
      <c r="K45">
        <v>0</v>
      </c>
      <c r="L45">
        <v>7.29</v>
      </c>
    </row>
    <row r="46" spans="1:12" x14ac:dyDescent="0.25">
      <c r="A46" t="s">
        <v>79</v>
      </c>
      <c r="B46" s="1">
        <v>44969</v>
      </c>
      <c r="C46" s="1">
        <v>44974</v>
      </c>
      <c r="D46" t="s">
        <v>28</v>
      </c>
      <c r="E46" t="s">
        <v>14</v>
      </c>
      <c r="F46" t="s">
        <v>32</v>
      </c>
      <c r="G46" t="s">
        <v>29</v>
      </c>
      <c r="H46" t="s">
        <v>43</v>
      </c>
      <c r="I46">
        <v>303.95999999999998</v>
      </c>
      <c r="J46">
        <v>7</v>
      </c>
      <c r="K46">
        <v>0.1</v>
      </c>
      <c r="L46">
        <v>41.63</v>
      </c>
    </row>
    <row r="47" spans="1:12" x14ac:dyDescent="0.25">
      <c r="A47" t="s">
        <v>80</v>
      </c>
      <c r="B47" s="1">
        <v>45107</v>
      </c>
      <c r="C47" s="1">
        <v>45109</v>
      </c>
      <c r="D47" t="s">
        <v>28</v>
      </c>
      <c r="E47" t="s">
        <v>20</v>
      </c>
      <c r="F47" t="s">
        <v>21</v>
      </c>
      <c r="G47" t="s">
        <v>22</v>
      </c>
      <c r="H47" t="s">
        <v>23</v>
      </c>
      <c r="I47">
        <v>631.87</v>
      </c>
      <c r="J47">
        <v>5</v>
      </c>
      <c r="K47">
        <v>0.1</v>
      </c>
      <c r="L47">
        <v>24.34</v>
      </c>
    </row>
    <row r="48" spans="1:12" x14ac:dyDescent="0.25">
      <c r="A48" t="s">
        <v>81</v>
      </c>
      <c r="B48" s="1">
        <v>45256</v>
      </c>
      <c r="C48" s="1">
        <v>45260</v>
      </c>
      <c r="D48" t="s">
        <v>28</v>
      </c>
      <c r="E48" t="s">
        <v>14</v>
      </c>
      <c r="F48" t="s">
        <v>26</v>
      </c>
      <c r="G48" t="s">
        <v>16</v>
      </c>
      <c r="H48" t="s">
        <v>38</v>
      </c>
      <c r="I48">
        <v>874.03</v>
      </c>
      <c r="J48">
        <v>4</v>
      </c>
      <c r="K48">
        <v>0.3</v>
      </c>
      <c r="L48">
        <v>-179.52</v>
      </c>
    </row>
    <row r="49" spans="1:12" x14ac:dyDescent="0.25">
      <c r="A49" t="s">
        <v>82</v>
      </c>
      <c r="B49" s="1">
        <v>44952</v>
      </c>
      <c r="C49" s="1">
        <v>44953</v>
      </c>
      <c r="D49" t="s">
        <v>19</v>
      </c>
      <c r="E49" t="s">
        <v>37</v>
      </c>
      <c r="F49" t="s">
        <v>26</v>
      </c>
      <c r="G49" t="s">
        <v>16</v>
      </c>
      <c r="H49" t="s">
        <v>38</v>
      </c>
      <c r="I49">
        <v>428.18</v>
      </c>
      <c r="J49">
        <v>9</v>
      </c>
      <c r="K49">
        <v>0.1</v>
      </c>
      <c r="L49">
        <v>17.75</v>
      </c>
    </row>
    <row r="50" spans="1:12" x14ac:dyDescent="0.25">
      <c r="A50" t="s">
        <v>83</v>
      </c>
      <c r="B50" s="1">
        <v>45007</v>
      </c>
      <c r="C50" s="1">
        <v>45011</v>
      </c>
      <c r="D50" t="s">
        <v>25</v>
      </c>
      <c r="E50" t="s">
        <v>37</v>
      </c>
      <c r="F50" t="s">
        <v>21</v>
      </c>
      <c r="G50" t="s">
        <v>29</v>
      </c>
      <c r="H50" t="s">
        <v>30</v>
      </c>
      <c r="I50">
        <v>811.29</v>
      </c>
      <c r="J50">
        <v>3</v>
      </c>
      <c r="K50">
        <v>0.3</v>
      </c>
      <c r="L50">
        <v>-157.32</v>
      </c>
    </row>
    <row r="51" spans="1:12" x14ac:dyDescent="0.25">
      <c r="A51" t="s">
        <v>84</v>
      </c>
      <c r="B51" s="1">
        <v>44993</v>
      </c>
      <c r="C51" s="1">
        <v>44996</v>
      </c>
      <c r="D51" t="s">
        <v>28</v>
      </c>
      <c r="E51" t="s">
        <v>20</v>
      </c>
      <c r="F51" t="s">
        <v>15</v>
      </c>
      <c r="G51" t="s">
        <v>16</v>
      </c>
      <c r="H51" t="s">
        <v>38</v>
      </c>
      <c r="I51">
        <v>908.69</v>
      </c>
      <c r="J51">
        <v>8</v>
      </c>
      <c r="K51">
        <v>0</v>
      </c>
      <c r="L51">
        <v>86.82</v>
      </c>
    </row>
    <row r="52" spans="1:12" x14ac:dyDescent="0.25">
      <c r="A52" t="s">
        <v>85</v>
      </c>
      <c r="B52" s="1">
        <v>45233</v>
      </c>
      <c r="C52" s="1">
        <v>45236</v>
      </c>
      <c r="D52" t="s">
        <v>19</v>
      </c>
      <c r="E52" t="s">
        <v>14</v>
      </c>
      <c r="F52" t="s">
        <v>26</v>
      </c>
      <c r="G52" t="s">
        <v>16</v>
      </c>
      <c r="H52" t="s">
        <v>17</v>
      </c>
      <c r="I52">
        <v>438.57</v>
      </c>
      <c r="J52">
        <v>3</v>
      </c>
      <c r="K52">
        <v>0.3</v>
      </c>
      <c r="L52">
        <v>-83.03</v>
      </c>
    </row>
    <row r="53" spans="1:12" x14ac:dyDescent="0.25">
      <c r="A53" t="s">
        <v>86</v>
      </c>
      <c r="B53" s="1">
        <v>44940</v>
      </c>
      <c r="C53" s="1">
        <v>44947</v>
      </c>
      <c r="D53" t="s">
        <v>25</v>
      </c>
      <c r="E53" t="s">
        <v>14</v>
      </c>
      <c r="F53" t="s">
        <v>15</v>
      </c>
      <c r="G53" t="s">
        <v>16</v>
      </c>
      <c r="H53" t="s">
        <v>38</v>
      </c>
      <c r="I53">
        <v>318.69</v>
      </c>
      <c r="J53">
        <v>10</v>
      </c>
      <c r="K53">
        <v>0.1</v>
      </c>
      <c r="L53">
        <v>15.75</v>
      </c>
    </row>
    <row r="54" spans="1:12" x14ac:dyDescent="0.25">
      <c r="A54" t="s">
        <v>87</v>
      </c>
      <c r="B54" s="1">
        <v>44977</v>
      </c>
      <c r="C54" s="1">
        <v>44983</v>
      </c>
      <c r="D54" t="s">
        <v>25</v>
      </c>
      <c r="E54" t="s">
        <v>14</v>
      </c>
      <c r="F54" t="s">
        <v>32</v>
      </c>
      <c r="G54" t="s">
        <v>29</v>
      </c>
      <c r="H54" t="s">
        <v>45</v>
      </c>
      <c r="I54">
        <v>429.06</v>
      </c>
      <c r="J54">
        <v>3</v>
      </c>
      <c r="K54">
        <v>0</v>
      </c>
      <c r="L54">
        <v>71.38</v>
      </c>
    </row>
    <row r="55" spans="1:12" x14ac:dyDescent="0.25">
      <c r="A55" t="s">
        <v>88</v>
      </c>
      <c r="B55" s="1">
        <v>44977</v>
      </c>
      <c r="C55" s="1">
        <v>44979</v>
      </c>
      <c r="D55" t="s">
        <v>19</v>
      </c>
      <c r="E55" t="s">
        <v>14</v>
      </c>
      <c r="F55" t="s">
        <v>21</v>
      </c>
      <c r="G55" t="s">
        <v>22</v>
      </c>
      <c r="H55" t="s">
        <v>35</v>
      </c>
      <c r="I55">
        <v>284.02</v>
      </c>
      <c r="J55">
        <v>7</v>
      </c>
      <c r="K55">
        <v>0.3</v>
      </c>
      <c r="L55">
        <v>-10.8</v>
      </c>
    </row>
    <row r="56" spans="1:12" x14ac:dyDescent="0.25">
      <c r="A56" t="s">
        <v>89</v>
      </c>
      <c r="B56" s="1">
        <v>45267</v>
      </c>
      <c r="C56" s="1">
        <v>45270</v>
      </c>
      <c r="D56" t="s">
        <v>13</v>
      </c>
      <c r="E56" t="s">
        <v>14</v>
      </c>
      <c r="F56" t="s">
        <v>15</v>
      </c>
      <c r="G56" t="s">
        <v>16</v>
      </c>
      <c r="H56" t="s">
        <v>17</v>
      </c>
      <c r="I56">
        <v>336.74</v>
      </c>
      <c r="J56">
        <v>9</v>
      </c>
      <c r="K56">
        <v>0.3</v>
      </c>
      <c r="L56">
        <v>-48.28</v>
      </c>
    </row>
    <row r="57" spans="1:12" x14ac:dyDescent="0.25">
      <c r="A57" t="s">
        <v>90</v>
      </c>
      <c r="B57" s="1">
        <v>45252</v>
      </c>
      <c r="C57" s="1">
        <v>45254</v>
      </c>
      <c r="D57" t="s">
        <v>19</v>
      </c>
      <c r="E57" t="s">
        <v>37</v>
      </c>
      <c r="F57" t="s">
        <v>15</v>
      </c>
      <c r="G57" t="s">
        <v>29</v>
      </c>
      <c r="H57" t="s">
        <v>30</v>
      </c>
      <c r="I57">
        <v>415.76</v>
      </c>
      <c r="J57">
        <v>1</v>
      </c>
      <c r="K57">
        <v>0.1</v>
      </c>
      <c r="L57">
        <v>48.02</v>
      </c>
    </row>
    <row r="58" spans="1:12" x14ac:dyDescent="0.25">
      <c r="A58" t="s">
        <v>91</v>
      </c>
      <c r="B58" s="1">
        <v>45048</v>
      </c>
      <c r="C58" s="1">
        <v>45053</v>
      </c>
      <c r="D58" t="s">
        <v>13</v>
      </c>
      <c r="E58" t="s">
        <v>20</v>
      </c>
      <c r="F58" t="s">
        <v>15</v>
      </c>
      <c r="G58" t="s">
        <v>16</v>
      </c>
      <c r="H58" t="s">
        <v>33</v>
      </c>
      <c r="I58">
        <v>963.2</v>
      </c>
      <c r="J58">
        <v>1</v>
      </c>
      <c r="K58">
        <v>0.1</v>
      </c>
      <c r="L58">
        <v>28.74</v>
      </c>
    </row>
    <row r="59" spans="1:12" x14ac:dyDescent="0.25">
      <c r="A59" t="s">
        <v>92</v>
      </c>
      <c r="B59" s="1">
        <v>45258</v>
      </c>
      <c r="C59" s="1">
        <v>45259</v>
      </c>
      <c r="D59" t="s">
        <v>25</v>
      </c>
      <c r="E59" t="s">
        <v>37</v>
      </c>
      <c r="F59" t="s">
        <v>21</v>
      </c>
      <c r="G59" t="s">
        <v>16</v>
      </c>
      <c r="H59" t="s">
        <v>38</v>
      </c>
      <c r="I59">
        <v>718.03</v>
      </c>
      <c r="J59">
        <v>7</v>
      </c>
      <c r="K59">
        <v>0</v>
      </c>
      <c r="L59">
        <v>71.739999999999995</v>
      </c>
    </row>
    <row r="60" spans="1:12" x14ac:dyDescent="0.25">
      <c r="A60" t="s">
        <v>93</v>
      </c>
      <c r="B60" s="1">
        <v>45145</v>
      </c>
      <c r="C60" s="1">
        <v>45152</v>
      </c>
      <c r="D60" t="s">
        <v>19</v>
      </c>
      <c r="E60" t="s">
        <v>14</v>
      </c>
      <c r="F60" t="s">
        <v>26</v>
      </c>
      <c r="G60" t="s">
        <v>29</v>
      </c>
      <c r="H60" t="s">
        <v>43</v>
      </c>
      <c r="I60">
        <v>56.15</v>
      </c>
      <c r="J60">
        <v>5</v>
      </c>
      <c r="K60">
        <v>0</v>
      </c>
      <c r="L60">
        <v>53.98</v>
      </c>
    </row>
    <row r="61" spans="1:12" x14ac:dyDescent="0.25">
      <c r="A61" t="s">
        <v>94</v>
      </c>
      <c r="B61" s="1">
        <v>45141</v>
      </c>
      <c r="C61" s="1">
        <v>45143</v>
      </c>
      <c r="D61" t="s">
        <v>13</v>
      </c>
      <c r="E61" t="s">
        <v>20</v>
      </c>
      <c r="F61" t="s">
        <v>32</v>
      </c>
      <c r="G61" t="s">
        <v>22</v>
      </c>
      <c r="H61" t="s">
        <v>35</v>
      </c>
      <c r="I61">
        <v>422.82</v>
      </c>
      <c r="J61">
        <v>7</v>
      </c>
      <c r="K61">
        <v>0.2</v>
      </c>
      <c r="L61">
        <v>-42.78</v>
      </c>
    </row>
    <row r="62" spans="1:12" x14ac:dyDescent="0.25">
      <c r="A62" t="s">
        <v>95</v>
      </c>
      <c r="B62" s="1">
        <v>44931</v>
      </c>
      <c r="C62" s="1">
        <v>44938</v>
      </c>
      <c r="D62" t="s">
        <v>13</v>
      </c>
      <c r="E62" t="s">
        <v>20</v>
      </c>
      <c r="F62" t="s">
        <v>21</v>
      </c>
      <c r="G62" t="s">
        <v>16</v>
      </c>
      <c r="H62" t="s">
        <v>38</v>
      </c>
      <c r="I62">
        <v>910.1</v>
      </c>
      <c r="J62">
        <v>6</v>
      </c>
      <c r="K62">
        <v>0.2</v>
      </c>
      <c r="L62">
        <v>-63.36</v>
      </c>
    </row>
    <row r="63" spans="1:12" x14ac:dyDescent="0.25">
      <c r="A63" t="s">
        <v>96</v>
      </c>
      <c r="B63" s="1">
        <v>45165</v>
      </c>
      <c r="C63" s="1">
        <v>45171</v>
      </c>
      <c r="D63" t="s">
        <v>19</v>
      </c>
      <c r="E63" t="s">
        <v>20</v>
      </c>
      <c r="F63" t="s">
        <v>15</v>
      </c>
      <c r="G63" t="s">
        <v>16</v>
      </c>
      <c r="H63" t="s">
        <v>33</v>
      </c>
      <c r="I63">
        <v>540.32000000000005</v>
      </c>
      <c r="J63">
        <v>2</v>
      </c>
      <c r="K63">
        <v>0.1</v>
      </c>
      <c r="L63">
        <v>49</v>
      </c>
    </row>
    <row r="64" spans="1:12" x14ac:dyDescent="0.25">
      <c r="A64" t="s">
        <v>97</v>
      </c>
      <c r="B64" s="1">
        <v>45082</v>
      </c>
      <c r="C64" s="1">
        <v>45085</v>
      </c>
      <c r="D64" t="s">
        <v>25</v>
      </c>
      <c r="E64" t="s">
        <v>20</v>
      </c>
      <c r="F64" t="s">
        <v>21</v>
      </c>
      <c r="G64" t="s">
        <v>29</v>
      </c>
      <c r="H64" t="s">
        <v>30</v>
      </c>
      <c r="I64">
        <v>257.20999999999998</v>
      </c>
      <c r="J64">
        <v>1</v>
      </c>
      <c r="K64">
        <v>0.3</v>
      </c>
      <c r="L64">
        <v>-65.78</v>
      </c>
    </row>
    <row r="65" spans="1:12" x14ac:dyDescent="0.25">
      <c r="A65" t="s">
        <v>98</v>
      </c>
      <c r="B65" s="1">
        <v>45210</v>
      </c>
      <c r="C65" s="1">
        <v>45216</v>
      </c>
      <c r="D65" t="s">
        <v>28</v>
      </c>
      <c r="E65" t="s">
        <v>37</v>
      </c>
      <c r="F65" t="s">
        <v>21</v>
      </c>
      <c r="G65" t="s">
        <v>29</v>
      </c>
      <c r="H65" t="s">
        <v>45</v>
      </c>
      <c r="I65">
        <v>382.26</v>
      </c>
      <c r="J65">
        <v>5</v>
      </c>
      <c r="K65">
        <v>0</v>
      </c>
      <c r="L65">
        <v>69.2</v>
      </c>
    </row>
    <row r="66" spans="1:12" x14ac:dyDescent="0.25">
      <c r="A66" t="s">
        <v>99</v>
      </c>
      <c r="B66" s="1">
        <v>45048</v>
      </c>
      <c r="C66" s="1">
        <v>45052</v>
      </c>
      <c r="D66" t="s">
        <v>28</v>
      </c>
      <c r="E66" t="s">
        <v>20</v>
      </c>
      <c r="F66" t="s">
        <v>26</v>
      </c>
      <c r="G66" t="s">
        <v>29</v>
      </c>
      <c r="H66" t="s">
        <v>45</v>
      </c>
      <c r="I66">
        <v>380.43</v>
      </c>
      <c r="J66">
        <v>7</v>
      </c>
      <c r="K66">
        <v>0.3</v>
      </c>
      <c r="L66">
        <v>-27.25</v>
      </c>
    </row>
    <row r="67" spans="1:12" x14ac:dyDescent="0.25">
      <c r="A67" t="s">
        <v>100</v>
      </c>
      <c r="B67" s="1">
        <v>45187</v>
      </c>
      <c r="C67" s="1">
        <v>45191</v>
      </c>
      <c r="D67" t="s">
        <v>28</v>
      </c>
      <c r="E67" t="s">
        <v>37</v>
      </c>
      <c r="F67" t="s">
        <v>21</v>
      </c>
      <c r="G67" t="s">
        <v>29</v>
      </c>
      <c r="H67" t="s">
        <v>45</v>
      </c>
      <c r="I67">
        <v>410.85</v>
      </c>
      <c r="J67">
        <v>9</v>
      </c>
      <c r="K67">
        <v>0.2</v>
      </c>
      <c r="L67">
        <v>-54.76</v>
      </c>
    </row>
    <row r="68" spans="1:12" x14ac:dyDescent="0.25">
      <c r="A68" t="s">
        <v>101</v>
      </c>
      <c r="B68" s="1">
        <v>45224</v>
      </c>
      <c r="C68" s="1">
        <v>45226</v>
      </c>
      <c r="D68" t="s">
        <v>28</v>
      </c>
      <c r="E68" t="s">
        <v>20</v>
      </c>
      <c r="F68" t="s">
        <v>32</v>
      </c>
      <c r="G68" t="s">
        <v>22</v>
      </c>
      <c r="H68" t="s">
        <v>35</v>
      </c>
      <c r="I68">
        <v>838.6</v>
      </c>
      <c r="J68">
        <v>2</v>
      </c>
      <c r="K68">
        <v>0.3</v>
      </c>
      <c r="L68">
        <v>-152.15</v>
      </c>
    </row>
    <row r="69" spans="1:12" x14ac:dyDescent="0.25">
      <c r="A69" t="s">
        <v>102</v>
      </c>
      <c r="B69" s="1">
        <v>45171</v>
      </c>
      <c r="C69" s="1">
        <v>45174</v>
      </c>
      <c r="D69" t="s">
        <v>19</v>
      </c>
      <c r="E69" t="s">
        <v>37</v>
      </c>
      <c r="F69" t="s">
        <v>26</v>
      </c>
      <c r="G69" t="s">
        <v>16</v>
      </c>
      <c r="H69" t="s">
        <v>17</v>
      </c>
      <c r="I69">
        <v>701.9</v>
      </c>
      <c r="J69">
        <v>2</v>
      </c>
      <c r="K69">
        <v>0.2</v>
      </c>
      <c r="L69">
        <v>-48.83</v>
      </c>
    </row>
    <row r="70" spans="1:12" x14ac:dyDescent="0.25">
      <c r="A70" t="s">
        <v>103</v>
      </c>
      <c r="B70" s="1">
        <v>45024</v>
      </c>
      <c r="C70" s="1">
        <v>45029</v>
      </c>
      <c r="D70" t="s">
        <v>19</v>
      </c>
      <c r="E70" t="s">
        <v>14</v>
      </c>
      <c r="F70" t="s">
        <v>21</v>
      </c>
      <c r="G70" t="s">
        <v>16</v>
      </c>
      <c r="H70" t="s">
        <v>33</v>
      </c>
      <c r="I70">
        <v>684.01</v>
      </c>
      <c r="J70">
        <v>3</v>
      </c>
      <c r="K70">
        <v>0.2</v>
      </c>
      <c r="L70">
        <v>-38.619999999999997</v>
      </c>
    </row>
    <row r="71" spans="1:12" x14ac:dyDescent="0.25">
      <c r="A71" t="s">
        <v>104</v>
      </c>
      <c r="B71" s="1">
        <v>45215</v>
      </c>
      <c r="C71" s="1">
        <v>45218</v>
      </c>
      <c r="D71" t="s">
        <v>28</v>
      </c>
      <c r="E71" t="s">
        <v>20</v>
      </c>
      <c r="F71" t="s">
        <v>32</v>
      </c>
      <c r="G71" t="s">
        <v>22</v>
      </c>
      <c r="H71" t="s">
        <v>35</v>
      </c>
      <c r="I71">
        <v>813.31</v>
      </c>
      <c r="J71">
        <v>1</v>
      </c>
      <c r="K71">
        <v>0.3</v>
      </c>
      <c r="L71">
        <v>-137.5</v>
      </c>
    </row>
    <row r="72" spans="1:12" x14ac:dyDescent="0.25">
      <c r="A72" t="s">
        <v>105</v>
      </c>
      <c r="B72" s="1">
        <v>45215</v>
      </c>
      <c r="C72" s="1">
        <v>45216</v>
      </c>
      <c r="D72" t="s">
        <v>28</v>
      </c>
      <c r="E72" t="s">
        <v>37</v>
      </c>
      <c r="F72" t="s">
        <v>26</v>
      </c>
      <c r="G72" t="s">
        <v>29</v>
      </c>
      <c r="H72" t="s">
        <v>30</v>
      </c>
      <c r="I72">
        <v>190.88</v>
      </c>
      <c r="J72">
        <v>1</v>
      </c>
      <c r="K72">
        <v>0</v>
      </c>
      <c r="L72">
        <v>26.92</v>
      </c>
    </row>
    <row r="73" spans="1:12" x14ac:dyDescent="0.25">
      <c r="A73" t="s">
        <v>106</v>
      </c>
      <c r="B73" s="1">
        <v>45027</v>
      </c>
      <c r="C73" s="1">
        <v>45031</v>
      </c>
      <c r="D73" t="s">
        <v>25</v>
      </c>
      <c r="E73" t="s">
        <v>14</v>
      </c>
      <c r="F73" t="s">
        <v>32</v>
      </c>
      <c r="G73" t="s">
        <v>22</v>
      </c>
      <c r="H73" t="s">
        <v>35</v>
      </c>
      <c r="I73">
        <v>527.4</v>
      </c>
      <c r="J73">
        <v>5</v>
      </c>
      <c r="K73">
        <v>0.3</v>
      </c>
      <c r="L73">
        <v>-115.85</v>
      </c>
    </row>
    <row r="74" spans="1:12" x14ac:dyDescent="0.25">
      <c r="A74" t="s">
        <v>107</v>
      </c>
      <c r="B74" s="1">
        <v>44951</v>
      </c>
      <c r="C74" s="1">
        <v>44958</v>
      </c>
      <c r="D74" t="s">
        <v>28</v>
      </c>
      <c r="E74" t="s">
        <v>14</v>
      </c>
      <c r="F74" t="s">
        <v>21</v>
      </c>
      <c r="G74" t="s">
        <v>16</v>
      </c>
      <c r="H74" t="s">
        <v>33</v>
      </c>
      <c r="I74">
        <v>354.25</v>
      </c>
      <c r="J74">
        <v>5</v>
      </c>
      <c r="K74">
        <v>0</v>
      </c>
      <c r="L74">
        <v>30.06</v>
      </c>
    </row>
    <row r="75" spans="1:12" x14ac:dyDescent="0.25">
      <c r="A75" t="s">
        <v>108</v>
      </c>
      <c r="B75" s="1">
        <v>45005</v>
      </c>
      <c r="C75" s="1">
        <v>45011</v>
      </c>
      <c r="D75" t="s">
        <v>25</v>
      </c>
      <c r="E75" t="s">
        <v>14</v>
      </c>
      <c r="F75" t="s">
        <v>21</v>
      </c>
      <c r="G75" t="s">
        <v>29</v>
      </c>
      <c r="H75" t="s">
        <v>43</v>
      </c>
      <c r="I75">
        <v>550.62</v>
      </c>
      <c r="J75">
        <v>9</v>
      </c>
      <c r="K75">
        <v>0.1</v>
      </c>
      <c r="L75">
        <v>-1.94</v>
      </c>
    </row>
    <row r="76" spans="1:12" x14ac:dyDescent="0.25">
      <c r="A76" t="s">
        <v>109</v>
      </c>
      <c r="B76" s="1">
        <v>45108</v>
      </c>
      <c r="C76" s="1">
        <v>45110</v>
      </c>
      <c r="D76" t="s">
        <v>19</v>
      </c>
      <c r="E76" t="s">
        <v>14</v>
      </c>
      <c r="F76" t="s">
        <v>26</v>
      </c>
      <c r="G76" t="s">
        <v>16</v>
      </c>
      <c r="H76" t="s">
        <v>17</v>
      </c>
      <c r="I76">
        <v>666.78</v>
      </c>
      <c r="J76">
        <v>10</v>
      </c>
      <c r="K76">
        <v>0.1</v>
      </c>
      <c r="L76">
        <v>48.75</v>
      </c>
    </row>
    <row r="77" spans="1:12" x14ac:dyDescent="0.25">
      <c r="A77" t="s">
        <v>110</v>
      </c>
      <c r="B77" s="1">
        <v>45067</v>
      </c>
      <c r="C77" s="1">
        <v>45071</v>
      </c>
      <c r="D77" t="s">
        <v>19</v>
      </c>
      <c r="E77" t="s">
        <v>14</v>
      </c>
      <c r="F77" t="s">
        <v>15</v>
      </c>
      <c r="G77" t="s">
        <v>29</v>
      </c>
      <c r="H77" t="s">
        <v>30</v>
      </c>
      <c r="I77">
        <v>526.29999999999995</v>
      </c>
      <c r="J77">
        <v>2</v>
      </c>
      <c r="K77">
        <v>0</v>
      </c>
      <c r="L77">
        <v>49.56</v>
      </c>
    </row>
    <row r="78" spans="1:12" x14ac:dyDescent="0.25">
      <c r="A78" t="s">
        <v>111</v>
      </c>
      <c r="B78" s="1">
        <v>45135</v>
      </c>
      <c r="C78" s="1">
        <v>45138</v>
      </c>
      <c r="D78" t="s">
        <v>25</v>
      </c>
      <c r="E78" t="s">
        <v>14</v>
      </c>
      <c r="F78" t="s">
        <v>26</v>
      </c>
      <c r="G78" t="s">
        <v>22</v>
      </c>
      <c r="H78" t="s">
        <v>23</v>
      </c>
      <c r="I78">
        <v>111.24</v>
      </c>
      <c r="J78">
        <v>2</v>
      </c>
      <c r="K78">
        <v>0.3</v>
      </c>
      <c r="L78">
        <v>-3.17</v>
      </c>
    </row>
    <row r="79" spans="1:12" x14ac:dyDescent="0.25">
      <c r="A79" t="s">
        <v>112</v>
      </c>
      <c r="B79" s="1">
        <v>45074</v>
      </c>
      <c r="C79" s="1">
        <v>45081</v>
      </c>
      <c r="D79" t="s">
        <v>25</v>
      </c>
      <c r="E79" t="s">
        <v>14</v>
      </c>
      <c r="F79" t="s">
        <v>15</v>
      </c>
      <c r="G79" t="s">
        <v>29</v>
      </c>
      <c r="H79" t="s">
        <v>45</v>
      </c>
      <c r="I79">
        <v>884.98</v>
      </c>
      <c r="J79">
        <v>8</v>
      </c>
      <c r="K79">
        <v>0.2</v>
      </c>
      <c r="L79">
        <v>-84.77</v>
      </c>
    </row>
    <row r="80" spans="1:12" x14ac:dyDescent="0.25">
      <c r="A80" t="s">
        <v>113</v>
      </c>
      <c r="B80" s="1">
        <v>45041</v>
      </c>
      <c r="C80" s="1">
        <v>45046</v>
      </c>
      <c r="D80" t="s">
        <v>28</v>
      </c>
      <c r="E80" t="s">
        <v>14</v>
      </c>
      <c r="F80" t="s">
        <v>15</v>
      </c>
      <c r="G80" t="s">
        <v>22</v>
      </c>
      <c r="H80" t="s">
        <v>23</v>
      </c>
      <c r="I80">
        <v>362.23</v>
      </c>
      <c r="J80">
        <v>6</v>
      </c>
      <c r="K80">
        <v>0.3</v>
      </c>
      <c r="L80">
        <v>-33.18</v>
      </c>
    </row>
    <row r="81" spans="1:12" x14ac:dyDescent="0.25">
      <c r="A81" t="s">
        <v>114</v>
      </c>
      <c r="B81" s="1">
        <v>45169</v>
      </c>
      <c r="C81" s="1">
        <v>45176</v>
      </c>
      <c r="D81" t="s">
        <v>25</v>
      </c>
      <c r="E81" t="s">
        <v>20</v>
      </c>
      <c r="F81" t="s">
        <v>32</v>
      </c>
      <c r="G81" t="s">
        <v>22</v>
      </c>
      <c r="H81" t="s">
        <v>40</v>
      </c>
      <c r="I81">
        <v>859.2</v>
      </c>
      <c r="J81">
        <v>5</v>
      </c>
      <c r="K81">
        <v>0.1</v>
      </c>
      <c r="L81">
        <v>34.590000000000003</v>
      </c>
    </row>
    <row r="82" spans="1:12" x14ac:dyDescent="0.25">
      <c r="A82" t="s">
        <v>115</v>
      </c>
      <c r="B82" s="1">
        <v>45248</v>
      </c>
      <c r="C82" s="1">
        <v>45252</v>
      </c>
      <c r="D82" t="s">
        <v>19</v>
      </c>
      <c r="E82" t="s">
        <v>20</v>
      </c>
      <c r="F82" t="s">
        <v>26</v>
      </c>
      <c r="G82" t="s">
        <v>29</v>
      </c>
      <c r="H82" t="s">
        <v>30</v>
      </c>
      <c r="I82">
        <v>649.19000000000005</v>
      </c>
      <c r="J82">
        <v>10</v>
      </c>
      <c r="K82">
        <v>0.2</v>
      </c>
      <c r="L82">
        <v>-19.420000000000002</v>
      </c>
    </row>
    <row r="83" spans="1:12" x14ac:dyDescent="0.25">
      <c r="A83" t="s">
        <v>116</v>
      </c>
      <c r="B83" s="1">
        <v>45103</v>
      </c>
      <c r="C83" s="1">
        <v>45105</v>
      </c>
      <c r="D83" t="s">
        <v>19</v>
      </c>
      <c r="E83" t="s">
        <v>37</v>
      </c>
      <c r="F83" t="s">
        <v>26</v>
      </c>
      <c r="G83" t="s">
        <v>29</v>
      </c>
      <c r="H83" t="s">
        <v>45</v>
      </c>
      <c r="I83">
        <v>789.63</v>
      </c>
      <c r="J83">
        <v>9</v>
      </c>
      <c r="K83">
        <v>0.3</v>
      </c>
      <c r="L83">
        <v>-135.47999999999999</v>
      </c>
    </row>
    <row r="84" spans="1:12" x14ac:dyDescent="0.25">
      <c r="A84" t="s">
        <v>117</v>
      </c>
      <c r="B84" s="1">
        <v>44978</v>
      </c>
      <c r="C84" s="1">
        <v>44982</v>
      </c>
      <c r="D84" t="s">
        <v>19</v>
      </c>
      <c r="E84" t="s">
        <v>37</v>
      </c>
      <c r="F84" t="s">
        <v>26</v>
      </c>
      <c r="G84" t="s">
        <v>29</v>
      </c>
      <c r="H84" t="s">
        <v>43</v>
      </c>
      <c r="I84">
        <v>29.01</v>
      </c>
      <c r="J84">
        <v>1</v>
      </c>
      <c r="K84">
        <v>0.1</v>
      </c>
      <c r="L84">
        <v>45.81</v>
      </c>
    </row>
    <row r="85" spans="1:12" x14ac:dyDescent="0.25">
      <c r="A85" t="s">
        <v>118</v>
      </c>
      <c r="B85" s="1">
        <v>44982</v>
      </c>
      <c r="C85" s="1">
        <v>44983</v>
      </c>
      <c r="D85" t="s">
        <v>25</v>
      </c>
      <c r="E85" t="s">
        <v>37</v>
      </c>
      <c r="F85" t="s">
        <v>32</v>
      </c>
      <c r="G85" t="s">
        <v>16</v>
      </c>
      <c r="H85" t="s">
        <v>33</v>
      </c>
      <c r="I85">
        <v>974.19</v>
      </c>
      <c r="J85">
        <v>3</v>
      </c>
      <c r="K85">
        <v>0.1</v>
      </c>
      <c r="L85">
        <v>-8.74</v>
      </c>
    </row>
    <row r="86" spans="1:12" x14ac:dyDescent="0.25">
      <c r="A86" t="s">
        <v>119</v>
      </c>
      <c r="B86" s="1">
        <v>45241</v>
      </c>
      <c r="C86" s="1">
        <v>45248</v>
      </c>
      <c r="D86" t="s">
        <v>19</v>
      </c>
      <c r="E86" t="s">
        <v>14</v>
      </c>
      <c r="F86" t="s">
        <v>26</v>
      </c>
      <c r="G86" t="s">
        <v>22</v>
      </c>
      <c r="H86" t="s">
        <v>35</v>
      </c>
      <c r="I86">
        <v>557.76</v>
      </c>
      <c r="J86">
        <v>2</v>
      </c>
      <c r="K86">
        <v>0.1</v>
      </c>
      <c r="L86">
        <v>11.39</v>
      </c>
    </row>
    <row r="87" spans="1:12" x14ac:dyDescent="0.25">
      <c r="A87" t="s">
        <v>120</v>
      </c>
      <c r="B87" s="1">
        <v>44998</v>
      </c>
      <c r="C87" s="1">
        <v>45000</v>
      </c>
      <c r="D87" t="s">
        <v>25</v>
      </c>
      <c r="E87" t="s">
        <v>14</v>
      </c>
      <c r="F87" t="s">
        <v>32</v>
      </c>
      <c r="G87" t="s">
        <v>16</v>
      </c>
      <c r="H87" t="s">
        <v>17</v>
      </c>
      <c r="I87">
        <v>994.57</v>
      </c>
      <c r="J87">
        <v>2</v>
      </c>
      <c r="K87">
        <v>0.3</v>
      </c>
      <c r="L87">
        <v>-169.06</v>
      </c>
    </row>
    <row r="88" spans="1:12" x14ac:dyDescent="0.25">
      <c r="A88" t="s">
        <v>121</v>
      </c>
      <c r="B88" s="1">
        <v>45155</v>
      </c>
      <c r="C88" s="1">
        <v>45160</v>
      </c>
      <c r="D88" t="s">
        <v>13</v>
      </c>
      <c r="E88" t="s">
        <v>37</v>
      </c>
      <c r="F88" t="s">
        <v>26</v>
      </c>
      <c r="G88" t="s">
        <v>29</v>
      </c>
      <c r="H88" t="s">
        <v>45</v>
      </c>
      <c r="I88">
        <v>252.5</v>
      </c>
      <c r="J88">
        <v>3</v>
      </c>
      <c r="K88">
        <v>0</v>
      </c>
      <c r="L88">
        <v>17.77</v>
      </c>
    </row>
    <row r="89" spans="1:12" x14ac:dyDescent="0.25">
      <c r="A89" t="s">
        <v>122</v>
      </c>
      <c r="B89" s="1">
        <v>45132</v>
      </c>
      <c r="C89" s="1">
        <v>45137</v>
      </c>
      <c r="D89" t="s">
        <v>19</v>
      </c>
      <c r="E89" t="s">
        <v>14</v>
      </c>
      <c r="F89" t="s">
        <v>26</v>
      </c>
      <c r="G89" t="s">
        <v>22</v>
      </c>
      <c r="H89" t="s">
        <v>35</v>
      </c>
      <c r="I89">
        <v>379.14</v>
      </c>
      <c r="J89">
        <v>4</v>
      </c>
      <c r="K89">
        <v>0.3</v>
      </c>
      <c r="L89">
        <v>-36.380000000000003</v>
      </c>
    </row>
    <row r="90" spans="1:12" x14ac:dyDescent="0.25">
      <c r="A90" t="s">
        <v>123</v>
      </c>
      <c r="B90" s="1">
        <v>45176</v>
      </c>
      <c r="C90" s="1">
        <v>45179</v>
      </c>
      <c r="D90" t="s">
        <v>19</v>
      </c>
      <c r="E90" t="s">
        <v>20</v>
      </c>
      <c r="F90" t="s">
        <v>21</v>
      </c>
      <c r="G90" t="s">
        <v>16</v>
      </c>
      <c r="H90" t="s">
        <v>38</v>
      </c>
      <c r="I90">
        <v>664.46</v>
      </c>
      <c r="J90">
        <v>3</v>
      </c>
      <c r="K90">
        <v>0</v>
      </c>
      <c r="L90">
        <v>84.42</v>
      </c>
    </row>
    <row r="91" spans="1:12" x14ac:dyDescent="0.25">
      <c r="A91" t="s">
        <v>124</v>
      </c>
      <c r="B91" s="1">
        <v>45093</v>
      </c>
      <c r="C91" s="1">
        <v>45098</v>
      </c>
      <c r="D91" t="s">
        <v>28</v>
      </c>
      <c r="E91" t="s">
        <v>37</v>
      </c>
      <c r="F91" t="s">
        <v>32</v>
      </c>
      <c r="G91" t="s">
        <v>16</v>
      </c>
      <c r="H91" t="s">
        <v>33</v>
      </c>
      <c r="I91">
        <v>518.64</v>
      </c>
      <c r="J91">
        <v>3</v>
      </c>
      <c r="K91">
        <v>0.1</v>
      </c>
      <c r="L91">
        <v>-1.44</v>
      </c>
    </row>
    <row r="92" spans="1:12" x14ac:dyDescent="0.25">
      <c r="A92" t="s">
        <v>125</v>
      </c>
      <c r="B92" s="1">
        <v>45148</v>
      </c>
      <c r="C92" s="1">
        <v>45149</v>
      </c>
      <c r="D92" t="s">
        <v>13</v>
      </c>
      <c r="E92" t="s">
        <v>37</v>
      </c>
      <c r="F92" t="s">
        <v>32</v>
      </c>
      <c r="G92" t="s">
        <v>16</v>
      </c>
      <c r="H92" t="s">
        <v>33</v>
      </c>
      <c r="I92">
        <v>259.11</v>
      </c>
      <c r="J92">
        <v>2</v>
      </c>
      <c r="K92">
        <v>0.1</v>
      </c>
      <c r="L92">
        <v>48.52</v>
      </c>
    </row>
    <row r="93" spans="1:12" x14ac:dyDescent="0.25">
      <c r="A93" t="s">
        <v>126</v>
      </c>
      <c r="B93" s="1">
        <v>45048</v>
      </c>
      <c r="C93" s="1">
        <v>45051</v>
      </c>
      <c r="D93" t="s">
        <v>19</v>
      </c>
      <c r="E93" t="s">
        <v>14</v>
      </c>
      <c r="F93" t="s">
        <v>32</v>
      </c>
      <c r="G93" t="s">
        <v>16</v>
      </c>
      <c r="H93" t="s">
        <v>38</v>
      </c>
      <c r="I93">
        <v>497.01</v>
      </c>
      <c r="J93">
        <v>8</v>
      </c>
      <c r="K93">
        <v>0.3</v>
      </c>
      <c r="L93">
        <v>-75.22</v>
      </c>
    </row>
    <row r="94" spans="1:12" x14ac:dyDescent="0.25">
      <c r="A94" t="s">
        <v>127</v>
      </c>
      <c r="B94" s="1">
        <v>45137</v>
      </c>
      <c r="C94" s="1">
        <v>45141</v>
      </c>
      <c r="D94" t="s">
        <v>13</v>
      </c>
      <c r="E94" t="s">
        <v>37</v>
      </c>
      <c r="F94" t="s">
        <v>15</v>
      </c>
      <c r="G94" t="s">
        <v>22</v>
      </c>
      <c r="H94" t="s">
        <v>40</v>
      </c>
      <c r="I94">
        <v>798.92</v>
      </c>
      <c r="J94">
        <v>3</v>
      </c>
      <c r="K94">
        <v>0.1</v>
      </c>
      <c r="L94">
        <v>25.16</v>
      </c>
    </row>
    <row r="95" spans="1:12" x14ac:dyDescent="0.25">
      <c r="A95" t="s">
        <v>128</v>
      </c>
      <c r="B95" s="1">
        <v>45018</v>
      </c>
      <c r="C95" s="1">
        <v>45021</v>
      </c>
      <c r="D95" t="s">
        <v>13</v>
      </c>
      <c r="E95" t="s">
        <v>14</v>
      </c>
      <c r="F95" t="s">
        <v>21</v>
      </c>
      <c r="G95" t="s">
        <v>22</v>
      </c>
      <c r="H95" t="s">
        <v>23</v>
      </c>
      <c r="I95">
        <v>675.55</v>
      </c>
      <c r="J95">
        <v>6</v>
      </c>
      <c r="K95">
        <v>0</v>
      </c>
      <c r="L95">
        <v>61.22</v>
      </c>
    </row>
    <row r="96" spans="1:12" x14ac:dyDescent="0.25">
      <c r="A96" t="s">
        <v>129</v>
      </c>
      <c r="B96" s="1">
        <v>45210</v>
      </c>
      <c r="C96" s="1">
        <v>45211</v>
      </c>
      <c r="D96" t="s">
        <v>13</v>
      </c>
      <c r="E96" t="s">
        <v>14</v>
      </c>
      <c r="F96" t="s">
        <v>21</v>
      </c>
      <c r="G96" t="s">
        <v>16</v>
      </c>
      <c r="H96" t="s">
        <v>17</v>
      </c>
      <c r="I96">
        <v>728</v>
      </c>
      <c r="J96">
        <v>4</v>
      </c>
      <c r="K96">
        <v>0.2</v>
      </c>
      <c r="L96">
        <v>-52.76</v>
      </c>
    </row>
    <row r="97" spans="1:12" x14ac:dyDescent="0.25">
      <c r="A97" t="s">
        <v>130</v>
      </c>
      <c r="B97" s="1">
        <v>44993</v>
      </c>
      <c r="C97" s="1">
        <v>45000</v>
      </c>
      <c r="D97" t="s">
        <v>28</v>
      </c>
      <c r="E97" t="s">
        <v>14</v>
      </c>
      <c r="F97" t="s">
        <v>32</v>
      </c>
      <c r="G97" t="s">
        <v>22</v>
      </c>
      <c r="H97" t="s">
        <v>40</v>
      </c>
      <c r="I97">
        <v>773.18</v>
      </c>
      <c r="J97">
        <v>6</v>
      </c>
      <c r="K97">
        <v>0.3</v>
      </c>
      <c r="L97">
        <v>-162.24</v>
      </c>
    </row>
    <row r="98" spans="1:12" x14ac:dyDescent="0.25">
      <c r="A98" t="s">
        <v>131</v>
      </c>
      <c r="B98" s="1">
        <v>45261</v>
      </c>
      <c r="C98" s="1">
        <v>45267</v>
      </c>
      <c r="D98" t="s">
        <v>28</v>
      </c>
      <c r="E98" t="s">
        <v>37</v>
      </c>
      <c r="F98" t="s">
        <v>26</v>
      </c>
      <c r="G98" t="s">
        <v>22</v>
      </c>
      <c r="H98" t="s">
        <v>23</v>
      </c>
      <c r="I98">
        <v>941.65</v>
      </c>
      <c r="J98">
        <v>6</v>
      </c>
      <c r="K98">
        <v>0</v>
      </c>
      <c r="L98">
        <v>93.73</v>
      </c>
    </row>
    <row r="99" spans="1:12" x14ac:dyDescent="0.25">
      <c r="A99" t="s">
        <v>132</v>
      </c>
      <c r="B99" s="1">
        <v>45283</v>
      </c>
      <c r="C99" s="1">
        <v>45290</v>
      </c>
      <c r="D99" t="s">
        <v>19</v>
      </c>
      <c r="E99" t="s">
        <v>20</v>
      </c>
      <c r="F99" t="s">
        <v>15</v>
      </c>
      <c r="G99" t="s">
        <v>22</v>
      </c>
      <c r="H99" t="s">
        <v>23</v>
      </c>
      <c r="I99">
        <v>885.82</v>
      </c>
      <c r="J99">
        <v>2</v>
      </c>
      <c r="K99">
        <v>0.3</v>
      </c>
      <c r="L99">
        <v>-196.08</v>
      </c>
    </row>
    <row r="100" spans="1:12" x14ac:dyDescent="0.25">
      <c r="A100" t="s">
        <v>133</v>
      </c>
      <c r="B100" s="1">
        <v>45044</v>
      </c>
      <c r="C100" s="1">
        <v>45045</v>
      </c>
      <c r="D100" t="s">
        <v>28</v>
      </c>
      <c r="E100" t="s">
        <v>37</v>
      </c>
      <c r="F100" t="s">
        <v>32</v>
      </c>
      <c r="G100" t="s">
        <v>22</v>
      </c>
      <c r="H100" t="s">
        <v>40</v>
      </c>
      <c r="I100">
        <v>929.75</v>
      </c>
      <c r="J100">
        <v>9</v>
      </c>
      <c r="K100">
        <v>0</v>
      </c>
      <c r="L100">
        <v>111.67</v>
      </c>
    </row>
    <row r="101" spans="1:12" x14ac:dyDescent="0.25">
      <c r="A101" t="s">
        <v>134</v>
      </c>
      <c r="B101" s="1">
        <v>45153</v>
      </c>
      <c r="C101" s="1">
        <v>45157</v>
      </c>
      <c r="D101" t="s">
        <v>28</v>
      </c>
      <c r="E101" t="s">
        <v>14</v>
      </c>
      <c r="F101" t="s">
        <v>21</v>
      </c>
      <c r="G101" t="s">
        <v>22</v>
      </c>
      <c r="H101" t="s">
        <v>35</v>
      </c>
      <c r="I101">
        <v>580.85</v>
      </c>
      <c r="J101">
        <v>3</v>
      </c>
      <c r="K101">
        <v>0.3</v>
      </c>
      <c r="L101">
        <v>-76.459999999999994</v>
      </c>
    </row>
    <row r="102" spans="1:12" x14ac:dyDescent="0.25">
      <c r="A102" t="s">
        <v>135</v>
      </c>
      <c r="B102" s="1">
        <v>44968</v>
      </c>
      <c r="C102" s="1">
        <v>44972</v>
      </c>
      <c r="D102" t="s">
        <v>28</v>
      </c>
      <c r="E102" t="s">
        <v>20</v>
      </c>
      <c r="F102" t="s">
        <v>15</v>
      </c>
      <c r="G102" t="s">
        <v>29</v>
      </c>
      <c r="H102" t="s">
        <v>45</v>
      </c>
      <c r="I102">
        <v>308.56</v>
      </c>
      <c r="J102">
        <v>3</v>
      </c>
      <c r="K102">
        <v>0</v>
      </c>
      <c r="L102">
        <v>24.22</v>
      </c>
    </row>
    <row r="103" spans="1:12" x14ac:dyDescent="0.25">
      <c r="A103" t="s">
        <v>136</v>
      </c>
      <c r="B103" s="1">
        <v>45201</v>
      </c>
      <c r="C103" s="1">
        <v>45203</v>
      </c>
      <c r="D103" t="s">
        <v>28</v>
      </c>
      <c r="E103" t="s">
        <v>20</v>
      </c>
      <c r="F103" t="s">
        <v>15</v>
      </c>
      <c r="G103" t="s">
        <v>16</v>
      </c>
      <c r="H103" t="s">
        <v>17</v>
      </c>
      <c r="I103">
        <v>283.11</v>
      </c>
      <c r="J103">
        <v>10</v>
      </c>
      <c r="K103">
        <v>0.2</v>
      </c>
      <c r="L103">
        <v>-36.450000000000003</v>
      </c>
    </row>
    <row r="104" spans="1:12" x14ac:dyDescent="0.25">
      <c r="A104" t="s">
        <v>137</v>
      </c>
      <c r="B104" s="1">
        <v>45042</v>
      </c>
      <c r="C104" s="1">
        <v>45049</v>
      </c>
      <c r="D104" t="s">
        <v>25</v>
      </c>
      <c r="E104" t="s">
        <v>37</v>
      </c>
      <c r="F104" t="s">
        <v>15</v>
      </c>
      <c r="G104" t="s">
        <v>22</v>
      </c>
      <c r="H104" t="s">
        <v>40</v>
      </c>
      <c r="I104">
        <v>565.66999999999996</v>
      </c>
      <c r="J104">
        <v>8</v>
      </c>
      <c r="K104">
        <v>0.2</v>
      </c>
      <c r="L104">
        <v>-17.47</v>
      </c>
    </row>
    <row r="105" spans="1:12" x14ac:dyDescent="0.25">
      <c r="A105" t="s">
        <v>138</v>
      </c>
      <c r="B105" s="1">
        <v>45039</v>
      </c>
      <c r="C105" s="1">
        <v>45040</v>
      </c>
      <c r="D105" t="s">
        <v>28</v>
      </c>
      <c r="E105" t="s">
        <v>20</v>
      </c>
      <c r="F105" t="s">
        <v>21</v>
      </c>
      <c r="G105" t="s">
        <v>22</v>
      </c>
      <c r="H105" t="s">
        <v>35</v>
      </c>
      <c r="I105">
        <v>931.42</v>
      </c>
      <c r="J105">
        <v>8</v>
      </c>
      <c r="K105">
        <v>0.1</v>
      </c>
      <c r="L105">
        <v>-13.2</v>
      </c>
    </row>
    <row r="106" spans="1:12" x14ac:dyDescent="0.25">
      <c r="A106" t="s">
        <v>139</v>
      </c>
      <c r="B106" s="1">
        <v>45055</v>
      </c>
      <c r="C106" s="1">
        <v>45056</v>
      </c>
      <c r="D106" t="s">
        <v>19</v>
      </c>
      <c r="E106" t="s">
        <v>14</v>
      </c>
      <c r="F106" t="s">
        <v>32</v>
      </c>
      <c r="G106" t="s">
        <v>16</v>
      </c>
      <c r="H106" t="s">
        <v>33</v>
      </c>
      <c r="I106">
        <v>622.71</v>
      </c>
      <c r="J106">
        <v>1</v>
      </c>
      <c r="K106">
        <v>0.1</v>
      </c>
      <c r="L106">
        <v>5.1100000000000003</v>
      </c>
    </row>
    <row r="107" spans="1:12" x14ac:dyDescent="0.25">
      <c r="A107" t="s">
        <v>140</v>
      </c>
      <c r="B107" s="1">
        <v>45062</v>
      </c>
      <c r="C107" s="1">
        <v>45069</v>
      </c>
      <c r="D107" t="s">
        <v>13</v>
      </c>
      <c r="E107" t="s">
        <v>37</v>
      </c>
      <c r="F107" t="s">
        <v>21</v>
      </c>
      <c r="G107" t="s">
        <v>29</v>
      </c>
      <c r="H107" t="s">
        <v>43</v>
      </c>
      <c r="I107">
        <v>269.08</v>
      </c>
      <c r="J107">
        <v>5</v>
      </c>
      <c r="K107">
        <v>0.1</v>
      </c>
      <c r="L107">
        <v>41.42</v>
      </c>
    </row>
    <row r="108" spans="1:12" x14ac:dyDescent="0.25">
      <c r="A108" t="s">
        <v>141</v>
      </c>
      <c r="B108" s="1">
        <v>44930</v>
      </c>
      <c r="C108" s="1">
        <v>44934</v>
      </c>
      <c r="D108" t="s">
        <v>19</v>
      </c>
      <c r="E108" t="s">
        <v>20</v>
      </c>
      <c r="F108" t="s">
        <v>21</v>
      </c>
      <c r="G108" t="s">
        <v>29</v>
      </c>
      <c r="H108" t="s">
        <v>30</v>
      </c>
      <c r="I108">
        <v>745.95</v>
      </c>
      <c r="J108">
        <v>4</v>
      </c>
      <c r="K108">
        <v>0</v>
      </c>
      <c r="L108">
        <v>64.16</v>
      </c>
    </row>
    <row r="109" spans="1:12" x14ac:dyDescent="0.25">
      <c r="A109" t="s">
        <v>142</v>
      </c>
      <c r="B109" s="1">
        <v>45074</v>
      </c>
      <c r="C109" s="1">
        <v>45080</v>
      </c>
      <c r="D109" t="s">
        <v>19</v>
      </c>
      <c r="E109" t="s">
        <v>14</v>
      </c>
      <c r="F109" t="s">
        <v>26</v>
      </c>
      <c r="G109" t="s">
        <v>29</v>
      </c>
      <c r="H109" t="s">
        <v>43</v>
      </c>
      <c r="I109">
        <v>714.73</v>
      </c>
      <c r="J109">
        <v>9</v>
      </c>
      <c r="K109">
        <v>0.2</v>
      </c>
      <c r="L109">
        <v>-70.92</v>
      </c>
    </row>
    <row r="110" spans="1:12" x14ac:dyDescent="0.25">
      <c r="A110" t="s">
        <v>143</v>
      </c>
      <c r="B110" s="1">
        <v>45141</v>
      </c>
      <c r="C110" s="1">
        <v>45147</v>
      </c>
      <c r="D110" t="s">
        <v>19</v>
      </c>
      <c r="E110" t="s">
        <v>37</v>
      </c>
      <c r="F110" t="s">
        <v>32</v>
      </c>
      <c r="G110" t="s">
        <v>16</v>
      </c>
      <c r="H110" t="s">
        <v>17</v>
      </c>
      <c r="I110">
        <v>813.17</v>
      </c>
      <c r="J110">
        <v>6</v>
      </c>
      <c r="K110">
        <v>0.2</v>
      </c>
      <c r="L110">
        <v>-83.38</v>
      </c>
    </row>
    <row r="111" spans="1:12" x14ac:dyDescent="0.25">
      <c r="A111" t="s">
        <v>144</v>
      </c>
      <c r="B111" s="1">
        <v>45044</v>
      </c>
      <c r="C111" s="1">
        <v>45047</v>
      </c>
      <c r="D111" t="s">
        <v>25</v>
      </c>
      <c r="E111" t="s">
        <v>37</v>
      </c>
      <c r="F111" t="s">
        <v>21</v>
      </c>
      <c r="G111" t="s">
        <v>22</v>
      </c>
      <c r="H111" t="s">
        <v>40</v>
      </c>
      <c r="I111">
        <v>619.28</v>
      </c>
      <c r="J111">
        <v>2</v>
      </c>
      <c r="K111">
        <v>0.3</v>
      </c>
      <c r="L111">
        <v>-108.06</v>
      </c>
    </row>
    <row r="112" spans="1:12" x14ac:dyDescent="0.25">
      <c r="A112" t="s">
        <v>145</v>
      </c>
      <c r="B112" s="1">
        <v>44954</v>
      </c>
      <c r="C112" s="1">
        <v>44960</v>
      </c>
      <c r="D112" t="s">
        <v>13</v>
      </c>
      <c r="E112" t="s">
        <v>20</v>
      </c>
      <c r="F112" t="s">
        <v>15</v>
      </c>
      <c r="G112" t="s">
        <v>29</v>
      </c>
      <c r="H112" t="s">
        <v>30</v>
      </c>
      <c r="I112">
        <v>511.49</v>
      </c>
      <c r="J112">
        <v>8</v>
      </c>
      <c r="K112">
        <v>0</v>
      </c>
      <c r="L112">
        <v>44.75</v>
      </c>
    </row>
    <row r="113" spans="1:12" x14ac:dyDescent="0.25">
      <c r="A113" t="s">
        <v>146</v>
      </c>
      <c r="B113" s="1">
        <v>45286</v>
      </c>
      <c r="C113" s="1">
        <v>45293</v>
      </c>
      <c r="D113" t="s">
        <v>13</v>
      </c>
      <c r="E113" t="s">
        <v>37</v>
      </c>
      <c r="F113" t="s">
        <v>32</v>
      </c>
      <c r="G113" t="s">
        <v>29</v>
      </c>
      <c r="H113" t="s">
        <v>43</v>
      </c>
      <c r="I113">
        <v>89.52</v>
      </c>
      <c r="J113">
        <v>4</v>
      </c>
      <c r="K113">
        <v>0.1</v>
      </c>
      <c r="L113">
        <v>35.71</v>
      </c>
    </row>
    <row r="114" spans="1:12" x14ac:dyDescent="0.25">
      <c r="A114" t="s">
        <v>147</v>
      </c>
      <c r="B114" s="1">
        <v>44966</v>
      </c>
      <c r="C114" s="1">
        <v>44969</v>
      </c>
      <c r="D114" t="s">
        <v>13</v>
      </c>
      <c r="E114" t="s">
        <v>37</v>
      </c>
      <c r="F114" t="s">
        <v>15</v>
      </c>
      <c r="G114" t="s">
        <v>22</v>
      </c>
      <c r="H114" t="s">
        <v>23</v>
      </c>
      <c r="I114">
        <v>892.21</v>
      </c>
      <c r="J114">
        <v>4</v>
      </c>
      <c r="K114">
        <v>0.2</v>
      </c>
      <c r="L114">
        <v>-107.29</v>
      </c>
    </row>
    <row r="115" spans="1:12" x14ac:dyDescent="0.25">
      <c r="A115" t="s">
        <v>148</v>
      </c>
      <c r="B115" s="1">
        <v>44990</v>
      </c>
      <c r="C115" s="1">
        <v>44992</v>
      </c>
      <c r="D115" t="s">
        <v>28</v>
      </c>
      <c r="E115" t="s">
        <v>20</v>
      </c>
      <c r="F115" t="s">
        <v>26</v>
      </c>
      <c r="G115" t="s">
        <v>29</v>
      </c>
      <c r="H115" t="s">
        <v>43</v>
      </c>
      <c r="I115">
        <v>587.29</v>
      </c>
      <c r="J115">
        <v>8</v>
      </c>
      <c r="K115">
        <v>0.3</v>
      </c>
      <c r="L115">
        <v>-96.98</v>
      </c>
    </row>
    <row r="116" spans="1:12" x14ac:dyDescent="0.25">
      <c r="A116" t="s">
        <v>149</v>
      </c>
      <c r="B116" s="1">
        <v>45112</v>
      </c>
      <c r="C116" s="1">
        <v>45116</v>
      </c>
      <c r="D116" t="s">
        <v>25</v>
      </c>
      <c r="E116" t="s">
        <v>20</v>
      </c>
      <c r="F116" t="s">
        <v>15</v>
      </c>
      <c r="G116" t="s">
        <v>16</v>
      </c>
      <c r="H116" t="s">
        <v>38</v>
      </c>
      <c r="I116">
        <v>55.22</v>
      </c>
      <c r="J116">
        <v>2</v>
      </c>
      <c r="K116">
        <v>0</v>
      </c>
      <c r="L116">
        <v>-3.63</v>
      </c>
    </row>
    <row r="117" spans="1:12" x14ac:dyDescent="0.25">
      <c r="A117" t="s">
        <v>150</v>
      </c>
      <c r="B117" s="1">
        <v>45007</v>
      </c>
      <c r="C117" s="1">
        <v>45008</v>
      </c>
      <c r="D117" t="s">
        <v>25</v>
      </c>
      <c r="E117" t="s">
        <v>37</v>
      </c>
      <c r="F117" t="s">
        <v>32</v>
      </c>
      <c r="G117" t="s">
        <v>16</v>
      </c>
      <c r="H117" t="s">
        <v>38</v>
      </c>
      <c r="I117">
        <v>982.2</v>
      </c>
      <c r="J117">
        <v>4</v>
      </c>
      <c r="K117">
        <v>0.1</v>
      </c>
      <c r="L117">
        <v>21.36</v>
      </c>
    </row>
    <row r="118" spans="1:12" x14ac:dyDescent="0.25">
      <c r="A118" t="s">
        <v>151</v>
      </c>
      <c r="B118" s="1">
        <v>45114</v>
      </c>
      <c r="C118" s="1">
        <v>45117</v>
      </c>
      <c r="D118" t="s">
        <v>13</v>
      </c>
      <c r="E118" t="s">
        <v>14</v>
      </c>
      <c r="F118" t="s">
        <v>26</v>
      </c>
      <c r="G118" t="s">
        <v>16</v>
      </c>
      <c r="H118" t="s">
        <v>17</v>
      </c>
      <c r="I118">
        <v>49.89</v>
      </c>
      <c r="J118">
        <v>8</v>
      </c>
      <c r="K118">
        <v>0.3</v>
      </c>
      <c r="L118">
        <v>-27.26</v>
      </c>
    </row>
    <row r="119" spans="1:12" x14ac:dyDescent="0.25">
      <c r="A119" t="s">
        <v>152</v>
      </c>
      <c r="B119" s="1">
        <v>45198</v>
      </c>
      <c r="C119" s="1">
        <v>45201</v>
      </c>
      <c r="D119" t="s">
        <v>28</v>
      </c>
      <c r="E119" t="s">
        <v>20</v>
      </c>
      <c r="F119" t="s">
        <v>15</v>
      </c>
      <c r="G119" t="s">
        <v>29</v>
      </c>
      <c r="H119" t="s">
        <v>43</v>
      </c>
      <c r="I119">
        <v>317.2</v>
      </c>
      <c r="J119">
        <v>7</v>
      </c>
      <c r="K119">
        <v>0.2</v>
      </c>
      <c r="L119">
        <v>-42.83</v>
      </c>
    </row>
    <row r="120" spans="1:12" x14ac:dyDescent="0.25">
      <c r="A120" t="s">
        <v>153</v>
      </c>
      <c r="B120" s="1">
        <v>45278</v>
      </c>
      <c r="C120" s="1">
        <v>45284</v>
      </c>
      <c r="D120" t="s">
        <v>13</v>
      </c>
      <c r="E120" t="s">
        <v>20</v>
      </c>
      <c r="F120" t="s">
        <v>32</v>
      </c>
      <c r="G120" t="s">
        <v>22</v>
      </c>
      <c r="H120" t="s">
        <v>23</v>
      </c>
      <c r="I120">
        <v>531.79999999999995</v>
      </c>
      <c r="J120">
        <v>4</v>
      </c>
      <c r="K120">
        <v>0</v>
      </c>
      <c r="L120">
        <v>52.19</v>
      </c>
    </row>
    <row r="121" spans="1:12" x14ac:dyDescent="0.25">
      <c r="A121" t="s">
        <v>154</v>
      </c>
      <c r="B121" s="1">
        <v>45139</v>
      </c>
      <c r="C121" s="1">
        <v>45144</v>
      </c>
      <c r="D121" t="s">
        <v>25</v>
      </c>
      <c r="E121" t="s">
        <v>14</v>
      </c>
      <c r="F121" t="s">
        <v>32</v>
      </c>
      <c r="G121" t="s">
        <v>22</v>
      </c>
      <c r="H121" t="s">
        <v>35</v>
      </c>
      <c r="I121">
        <v>965.95</v>
      </c>
      <c r="J121">
        <v>1</v>
      </c>
      <c r="K121">
        <v>0.2</v>
      </c>
      <c r="L121">
        <v>-110.62</v>
      </c>
    </row>
    <row r="122" spans="1:12" x14ac:dyDescent="0.25">
      <c r="A122" t="s">
        <v>155</v>
      </c>
      <c r="B122" s="1">
        <v>45158</v>
      </c>
      <c r="C122" s="1">
        <v>45162</v>
      </c>
      <c r="D122" t="s">
        <v>28</v>
      </c>
      <c r="E122" t="s">
        <v>20</v>
      </c>
      <c r="F122" t="s">
        <v>32</v>
      </c>
      <c r="G122" t="s">
        <v>22</v>
      </c>
      <c r="H122" t="s">
        <v>23</v>
      </c>
      <c r="I122">
        <v>70.650000000000006</v>
      </c>
      <c r="J122">
        <v>4</v>
      </c>
      <c r="K122">
        <v>0.3</v>
      </c>
      <c r="L122">
        <v>-5.34</v>
      </c>
    </row>
    <row r="123" spans="1:12" x14ac:dyDescent="0.25">
      <c r="A123" t="s">
        <v>156</v>
      </c>
      <c r="B123" s="1">
        <v>45079</v>
      </c>
      <c r="C123" s="1">
        <v>45081</v>
      </c>
      <c r="D123" t="s">
        <v>25</v>
      </c>
      <c r="E123" t="s">
        <v>20</v>
      </c>
      <c r="F123" t="s">
        <v>26</v>
      </c>
      <c r="G123" t="s">
        <v>22</v>
      </c>
      <c r="H123" t="s">
        <v>23</v>
      </c>
      <c r="I123">
        <v>705.52</v>
      </c>
      <c r="J123">
        <v>5</v>
      </c>
      <c r="K123">
        <v>0.3</v>
      </c>
      <c r="L123">
        <v>-110.28</v>
      </c>
    </row>
    <row r="124" spans="1:12" x14ac:dyDescent="0.25">
      <c r="A124" t="s">
        <v>157</v>
      </c>
      <c r="B124" s="1">
        <v>45289</v>
      </c>
      <c r="C124" s="1">
        <v>45292</v>
      </c>
      <c r="D124" t="s">
        <v>13</v>
      </c>
      <c r="E124" t="s">
        <v>14</v>
      </c>
      <c r="F124" t="s">
        <v>32</v>
      </c>
      <c r="G124" t="s">
        <v>16</v>
      </c>
      <c r="H124" t="s">
        <v>17</v>
      </c>
      <c r="I124">
        <v>976.34</v>
      </c>
      <c r="J124">
        <v>5</v>
      </c>
      <c r="K124">
        <v>0.3</v>
      </c>
      <c r="L124">
        <v>-165.25</v>
      </c>
    </row>
    <row r="125" spans="1:12" x14ac:dyDescent="0.25">
      <c r="A125" t="s">
        <v>158</v>
      </c>
      <c r="B125" s="1">
        <v>45033</v>
      </c>
      <c r="C125" s="1">
        <v>45035</v>
      </c>
      <c r="D125" t="s">
        <v>13</v>
      </c>
      <c r="E125" t="s">
        <v>20</v>
      </c>
      <c r="F125" t="s">
        <v>21</v>
      </c>
      <c r="G125" t="s">
        <v>29</v>
      </c>
      <c r="H125" t="s">
        <v>30</v>
      </c>
      <c r="I125">
        <v>60.25</v>
      </c>
      <c r="J125">
        <v>1</v>
      </c>
      <c r="K125">
        <v>0.3</v>
      </c>
      <c r="L125">
        <v>-13.09</v>
      </c>
    </row>
    <row r="126" spans="1:12" x14ac:dyDescent="0.25">
      <c r="A126" t="s">
        <v>159</v>
      </c>
      <c r="B126" s="1">
        <v>45101</v>
      </c>
      <c r="C126" s="1">
        <v>45103</v>
      </c>
      <c r="D126" t="s">
        <v>13</v>
      </c>
      <c r="E126" t="s">
        <v>14</v>
      </c>
      <c r="F126" t="s">
        <v>15</v>
      </c>
      <c r="G126" t="s">
        <v>22</v>
      </c>
      <c r="H126" t="s">
        <v>35</v>
      </c>
      <c r="I126">
        <v>450.19</v>
      </c>
      <c r="J126">
        <v>6</v>
      </c>
      <c r="K126">
        <v>0.2</v>
      </c>
      <c r="L126">
        <v>-47.46</v>
      </c>
    </row>
    <row r="127" spans="1:12" x14ac:dyDescent="0.25">
      <c r="A127" t="s">
        <v>160</v>
      </c>
      <c r="B127" s="1">
        <v>45259</v>
      </c>
      <c r="C127" s="1">
        <v>45261</v>
      </c>
      <c r="D127" t="s">
        <v>13</v>
      </c>
      <c r="E127" t="s">
        <v>20</v>
      </c>
      <c r="F127" t="s">
        <v>21</v>
      </c>
      <c r="G127" t="s">
        <v>16</v>
      </c>
      <c r="H127" t="s">
        <v>38</v>
      </c>
      <c r="I127">
        <v>200.65</v>
      </c>
      <c r="J127">
        <v>10</v>
      </c>
      <c r="K127">
        <v>0.1</v>
      </c>
      <c r="L127">
        <v>38.520000000000003</v>
      </c>
    </row>
    <row r="128" spans="1:12" x14ac:dyDescent="0.25">
      <c r="A128" t="s">
        <v>161</v>
      </c>
      <c r="B128" s="1">
        <v>45094</v>
      </c>
      <c r="C128" s="1">
        <v>45097</v>
      </c>
      <c r="D128" t="s">
        <v>28</v>
      </c>
      <c r="E128" t="s">
        <v>20</v>
      </c>
      <c r="F128" t="s">
        <v>15</v>
      </c>
      <c r="G128" t="s">
        <v>16</v>
      </c>
      <c r="H128" t="s">
        <v>33</v>
      </c>
      <c r="I128">
        <v>702.05</v>
      </c>
      <c r="J128">
        <v>9</v>
      </c>
      <c r="K128">
        <v>0</v>
      </c>
      <c r="L128">
        <v>54.28</v>
      </c>
    </row>
    <row r="129" spans="1:12" x14ac:dyDescent="0.25">
      <c r="A129" t="s">
        <v>162</v>
      </c>
      <c r="B129" s="1">
        <v>45189</v>
      </c>
      <c r="C129" s="1">
        <v>45190</v>
      </c>
      <c r="D129" t="s">
        <v>28</v>
      </c>
      <c r="E129" t="s">
        <v>37</v>
      </c>
      <c r="F129" t="s">
        <v>15</v>
      </c>
      <c r="G129" t="s">
        <v>16</v>
      </c>
      <c r="H129" t="s">
        <v>33</v>
      </c>
      <c r="I129">
        <v>916.91</v>
      </c>
      <c r="J129">
        <v>7</v>
      </c>
      <c r="K129">
        <v>0.2</v>
      </c>
      <c r="L129">
        <v>-94.17</v>
      </c>
    </row>
    <row r="130" spans="1:12" x14ac:dyDescent="0.25">
      <c r="A130" t="s">
        <v>163</v>
      </c>
      <c r="B130" s="1">
        <v>45171</v>
      </c>
      <c r="C130" s="1">
        <v>45173</v>
      </c>
      <c r="D130" t="s">
        <v>13</v>
      </c>
      <c r="E130" t="s">
        <v>14</v>
      </c>
      <c r="F130" t="s">
        <v>15</v>
      </c>
      <c r="G130" t="s">
        <v>22</v>
      </c>
      <c r="H130" t="s">
        <v>35</v>
      </c>
      <c r="I130">
        <v>558.24</v>
      </c>
      <c r="J130">
        <v>8</v>
      </c>
      <c r="K130">
        <v>0.3</v>
      </c>
      <c r="L130">
        <v>-118.85</v>
      </c>
    </row>
    <row r="131" spans="1:12" x14ac:dyDescent="0.25">
      <c r="A131" t="s">
        <v>164</v>
      </c>
      <c r="B131" s="1">
        <v>45199</v>
      </c>
      <c r="C131" s="1">
        <v>45202</v>
      </c>
      <c r="D131" t="s">
        <v>19</v>
      </c>
      <c r="E131" t="s">
        <v>37</v>
      </c>
      <c r="F131" t="s">
        <v>21</v>
      </c>
      <c r="G131" t="s">
        <v>16</v>
      </c>
      <c r="H131" t="s">
        <v>38</v>
      </c>
      <c r="I131">
        <v>935.92</v>
      </c>
      <c r="J131">
        <v>3</v>
      </c>
      <c r="K131">
        <v>0</v>
      </c>
      <c r="L131">
        <v>140.43</v>
      </c>
    </row>
    <row r="132" spans="1:12" x14ac:dyDescent="0.25">
      <c r="A132" t="s">
        <v>165</v>
      </c>
      <c r="B132" s="1">
        <v>45069</v>
      </c>
      <c r="C132" s="1">
        <v>45075</v>
      </c>
      <c r="D132" t="s">
        <v>13</v>
      </c>
      <c r="E132" t="s">
        <v>14</v>
      </c>
      <c r="F132" t="s">
        <v>32</v>
      </c>
      <c r="G132" t="s">
        <v>22</v>
      </c>
      <c r="H132" t="s">
        <v>23</v>
      </c>
      <c r="I132">
        <v>743.14</v>
      </c>
      <c r="J132">
        <v>1</v>
      </c>
      <c r="K132">
        <v>0.2</v>
      </c>
      <c r="L132">
        <v>-63.82</v>
      </c>
    </row>
    <row r="133" spans="1:12" x14ac:dyDescent="0.25">
      <c r="A133" t="s">
        <v>166</v>
      </c>
      <c r="B133" s="1">
        <v>45077</v>
      </c>
      <c r="C133" s="1">
        <v>45080</v>
      </c>
      <c r="D133" t="s">
        <v>13</v>
      </c>
      <c r="E133" t="s">
        <v>14</v>
      </c>
      <c r="F133" t="s">
        <v>15</v>
      </c>
      <c r="G133" t="s">
        <v>16</v>
      </c>
      <c r="H133" t="s">
        <v>38</v>
      </c>
      <c r="I133">
        <v>735.44</v>
      </c>
      <c r="J133">
        <v>5</v>
      </c>
      <c r="K133">
        <v>0.2</v>
      </c>
      <c r="L133">
        <v>-76.2</v>
      </c>
    </row>
    <row r="134" spans="1:12" x14ac:dyDescent="0.25">
      <c r="A134" t="s">
        <v>167</v>
      </c>
      <c r="B134" s="1">
        <v>45099</v>
      </c>
      <c r="C134" s="1">
        <v>45101</v>
      </c>
      <c r="D134" t="s">
        <v>28</v>
      </c>
      <c r="E134" t="s">
        <v>14</v>
      </c>
      <c r="F134" t="s">
        <v>21</v>
      </c>
      <c r="G134" t="s">
        <v>22</v>
      </c>
      <c r="H134" t="s">
        <v>40</v>
      </c>
      <c r="I134">
        <v>368.85</v>
      </c>
      <c r="J134">
        <v>6</v>
      </c>
      <c r="K134">
        <v>0</v>
      </c>
      <c r="L134">
        <v>25.3</v>
      </c>
    </row>
    <row r="135" spans="1:12" x14ac:dyDescent="0.25">
      <c r="A135" t="s">
        <v>168</v>
      </c>
      <c r="B135" s="1">
        <v>45203</v>
      </c>
      <c r="C135" s="1">
        <v>45209</v>
      </c>
      <c r="D135" t="s">
        <v>25</v>
      </c>
      <c r="E135" t="s">
        <v>20</v>
      </c>
      <c r="F135" t="s">
        <v>21</v>
      </c>
      <c r="G135" t="s">
        <v>22</v>
      </c>
      <c r="H135" t="s">
        <v>35</v>
      </c>
      <c r="I135">
        <v>355.04</v>
      </c>
      <c r="J135">
        <v>3</v>
      </c>
      <c r="K135">
        <v>0.3</v>
      </c>
      <c r="L135">
        <v>-87.79</v>
      </c>
    </row>
    <row r="136" spans="1:12" x14ac:dyDescent="0.25">
      <c r="A136" t="s">
        <v>169</v>
      </c>
      <c r="B136" s="1">
        <v>45004</v>
      </c>
      <c r="C136" s="1">
        <v>45005</v>
      </c>
      <c r="D136" t="s">
        <v>25</v>
      </c>
      <c r="E136" t="s">
        <v>20</v>
      </c>
      <c r="F136" t="s">
        <v>21</v>
      </c>
      <c r="G136" t="s">
        <v>29</v>
      </c>
      <c r="H136" t="s">
        <v>43</v>
      </c>
      <c r="I136">
        <v>59.91</v>
      </c>
      <c r="J136">
        <v>5</v>
      </c>
      <c r="K136">
        <v>0.1</v>
      </c>
      <c r="L136">
        <v>48.57</v>
      </c>
    </row>
    <row r="137" spans="1:12" x14ac:dyDescent="0.25">
      <c r="A137" t="s">
        <v>170</v>
      </c>
      <c r="B137" s="1">
        <v>44989</v>
      </c>
      <c r="C137" s="1">
        <v>44992</v>
      </c>
      <c r="D137" t="s">
        <v>13</v>
      </c>
      <c r="E137" t="s">
        <v>14</v>
      </c>
      <c r="F137" t="s">
        <v>15</v>
      </c>
      <c r="G137" t="s">
        <v>29</v>
      </c>
      <c r="H137" t="s">
        <v>45</v>
      </c>
      <c r="I137">
        <v>191.82</v>
      </c>
      <c r="J137">
        <v>10</v>
      </c>
      <c r="K137">
        <v>0.3</v>
      </c>
      <c r="L137">
        <v>-51.52</v>
      </c>
    </row>
    <row r="138" spans="1:12" x14ac:dyDescent="0.25">
      <c r="A138" t="s">
        <v>171</v>
      </c>
      <c r="B138" s="1">
        <v>45128</v>
      </c>
      <c r="C138" s="1">
        <v>45130</v>
      </c>
      <c r="D138" t="s">
        <v>13</v>
      </c>
      <c r="E138" t="s">
        <v>37</v>
      </c>
      <c r="F138" t="s">
        <v>15</v>
      </c>
      <c r="G138" t="s">
        <v>29</v>
      </c>
      <c r="H138" t="s">
        <v>45</v>
      </c>
      <c r="I138">
        <v>501.78</v>
      </c>
      <c r="J138">
        <v>6</v>
      </c>
      <c r="K138">
        <v>0.2</v>
      </c>
      <c r="L138">
        <v>-45.94</v>
      </c>
    </row>
    <row r="139" spans="1:12" x14ac:dyDescent="0.25">
      <c r="A139" t="s">
        <v>172</v>
      </c>
      <c r="B139" s="1">
        <v>45268</v>
      </c>
      <c r="C139" s="1">
        <v>45274</v>
      </c>
      <c r="D139" t="s">
        <v>19</v>
      </c>
      <c r="E139" t="s">
        <v>20</v>
      </c>
      <c r="F139" t="s">
        <v>15</v>
      </c>
      <c r="G139" t="s">
        <v>16</v>
      </c>
      <c r="H139" t="s">
        <v>38</v>
      </c>
      <c r="I139">
        <v>475.38</v>
      </c>
      <c r="J139">
        <v>6</v>
      </c>
      <c r="K139">
        <v>0</v>
      </c>
      <c r="L139">
        <v>55.43</v>
      </c>
    </row>
    <row r="140" spans="1:12" x14ac:dyDescent="0.25">
      <c r="A140" t="s">
        <v>173</v>
      </c>
      <c r="B140" s="1">
        <v>45192</v>
      </c>
      <c r="C140" s="1">
        <v>45196</v>
      </c>
      <c r="D140" t="s">
        <v>28</v>
      </c>
      <c r="E140" t="s">
        <v>14</v>
      </c>
      <c r="F140" t="s">
        <v>32</v>
      </c>
      <c r="G140" t="s">
        <v>16</v>
      </c>
      <c r="H140" t="s">
        <v>33</v>
      </c>
      <c r="I140">
        <v>623.53</v>
      </c>
      <c r="J140">
        <v>3</v>
      </c>
      <c r="K140">
        <v>0</v>
      </c>
      <c r="L140">
        <v>104.42</v>
      </c>
    </row>
    <row r="141" spans="1:12" x14ac:dyDescent="0.25">
      <c r="A141" t="s">
        <v>174</v>
      </c>
      <c r="B141" s="1">
        <v>45143</v>
      </c>
      <c r="C141" s="1">
        <v>45149</v>
      </c>
      <c r="D141" t="s">
        <v>13</v>
      </c>
      <c r="E141" t="s">
        <v>20</v>
      </c>
      <c r="F141" t="s">
        <v>32</v>
      </c>
      <c r="G141" t="s">
        <v>22</v>
      </c>
      <c r="H141" t="s">
        <v>35</v>
      </c>
      <c r="I141">
        <v>275.68</v>
      </c>
      <c r="J141">
        <v>4</v>
      </c>
      <c r="K141">
        <v>0.1</v>
      </c>
      <c r="L141">
        <v>23.81</v>
      </c>
    </row>
    <row r="142" spans="1:12" x14ac:dyDescent="0.25">
      <c r="A142" t="s">
        <v>175</v>
      </c>
      <c r="B142" s="1">
        <v>45187</v>
      </c>
      <c r="C142" s="1">
        <v>45194</v>
      </c>
      <c r="D142" t="s">
        <v>28</v>
      </c>
      <c r="E142" t="s">
        <v>14</v>
      </c>
      <c r="F142" t="s">
        <v>21</v>
      </c>
      <c r="G142" t="s">
        <v>22</v>
      </c>
      <c r="H142" t="s">
        <v>40</v>
      </c>
      <c r="I142">
        <v>513.07000000000005</v>
      </c>
      <c r="J142">
        <v>4</v>
      </c>
      <c r="K142">
        <v>0</v>
      </c>
      <c r="L142">
        <v>69.06</v>
      </c>
    </row>
    <row r="143" spans="1:12" x14ac:dyDescent="0.25">
      <c r="A143" t="s">
        <v>176</v>
      </c>
      <c r="B143" s="1">
        <v>45247</v>
      </c>
      <c r="C143" s="1">
        <v>45251</v>
      </c>
      <c r="D143" t="s">
        <v>28</v>
      </c>
      <c r="E143" t="s">
        <v>14</v>
      </c>
      <c r="F143" t="s">
        <v>21</v>
      </c>
      <c r="G143" t="s">
        <v>22</v>
      </c>
      <c r="H143" t="s">
        <v>40</v>
      </c>
      <c r="I143">
        <v>690.28</v>
      </c>
      <c r="J143">
        <v>2</v>
      </c>
      <c r="K143">
        <v>0.3</v>
      </c>
      <c r="L143">
        <v>-153.12</v>
      </c>
    </row>
    <row r="144" spans="1:12" x14ac:dyDescent="0.25">
      <c r="A144" t="s">
        <v>177</v>
      </c>
      <c r="B144" s="1">
        <v>45156</v>
      </c>
      <c r="C144" s="1">
        <v>45163</v>
      </c>
      <c r="D144" t="s">
        <v>13</v>
      </c>
      <c r="E144" t="s">
        <v>37</v>
      </c>
      <c r="F144" t="s">
        <v>21</v>
      </c>
      <c r="G144" t="s">
        <v>29</v>
      </c>
      <c r="H144" t="s">
        <v>43</v>
      </c>
      <c r="I144">
        <v>649.57000000000005</v>
      </c>
      <c r="J144">
        <v>8</v>
      </c>
      <c r="K144">
        <v>0</v>
      </c>
      <c r="L144">
        <v>105.66</v>
      </c>
    </row>
    <row r="145" spans="1:12" x14ac:dyDescent="0.25">
      <c r="A145" t="s">
        <v>178</v>
      </c>
      <c r="B145" s="1">
        <v>44947</v>
      </c>
      <c r="C145" s="1">
        <v>44953</v>
      </c>
      <c r="D145" t="s">
        <v>19</v>
      </c>
      <c r="E145" t="s">
        <v>14</v>
      </c>
      <c r="F145" t="s">
        <v>32</v>
      </c>
      <c r="G145" t="s">
        <v>22</v>
      </c>
      <c r="H145" t="s">
        <v>40</v>
      </c>
      <c r="I145">
        <v>643.67999999999995</v>
      </c>
      <c r="J145">
        <v>7</v>
      </c>
      <c r="K145">
        <v>0.3</v>
      </c>
      <c r="L145">
        <v>-108.45</v>
      </c>
    </row>
    <row r="146" spans="1:12" x14ac:dyDescent="0.25">
      <c r="A146" t="s">
        <v>179</v>
      </c>
      <c r="B146" s="1">
        <v>45219</v>
      </c>
      <c r="C146" s="1">
        <v>45226</v>
      </c>
      <c r="D146" t="s">
        <v>13</v>
      </c>
      <c r="E146" t="s">
        <v>14</v>
      </c>
      <c r="F146" t="s">
        <v>21</v>
      </c>
      <c r="G146" t="s">
        <v>22</v>
      </c>
      <c r="H146" t="s">
        <v>40</v>
      </c>
      <c r="I146">
        <v>400.41</v>
      </c>
      <c r="J146">
        <v>1</v>
      </c>
      <c r="K146">
        <v>0.3</v>
      </c>
      <c r="L146">
        <v>-91.09</v>
      </c>
    </row>
    <row r="147" spans="1:12" x14ac:dyDescent="0.25">
      <c r="A147" t="s">
        <v>180</v>
      </c>
      <c r="B147" s="1">
        <v>45087</v>
      </c>
      <c r="C147" s="1">
        <v>45092</v>
      </c>
      <c r="D147" t="s">
        <v>25</v>
      </c>
      <c r="E147" t="s">
        <v>37</v>
      </c>
      <c r="F147" t="s">
        <v>15</v>
      </c>
      <c r="G147" t="s">
        <v>29</v>
      </c>
      <c r="H147" t="s">
        <v>30</v>
      </c>
      <c r="I147">
        <v>814.98</v>
      </c>
      <c r="J147">
        <v>7</v>
      </c>
      <c r="K147">
        <v>0.2</v>
      </c>
      <c r="L147">
        <v>-35.6</v>
      </c>
    </row>
    <row r="148" spans="1:12" x14ac:dyDescent="0.25">
      <c r="A148" t="s">
        <v>181</v>
      </c>
      <c r="B148" s="1">
        <v>45052</v>
      </c>
      <c r="C148" s="1">
        <v>45057</v>
      </c>
      <c r="D148" t="s">
        <v>25</v>
      </c>
      <c r="E148" t="s">
        <v>37</v>
      </c>
      <c r="F148" t="s">
        <v>21</v>
      </c>
      <c r="G148" t="s">
        <v>16</v>
      </c>
      <c r="H148" t="s">
        <v>38</v>
      </c>
      <c r="I148">
        <v>398.38</v>
      </c>
      <c r="J148">
        <v>5</v>
      </c>
      <c r="K148">
        <v>0</v>
      </c>
      <c r="L148">
        <v>65.44</v>
      </c>
    </row>
    <row r="149" spans="1:12" x14ac:dyDescent="0.25">
      <c r="A149" t="s">
        <v>182</v>
      </c>
      <c r="B149" s="1">
        <v>45099</v>
      </c>
      <c r="C149" s="1">
        <v>45102</v>
      </c>
      <c r="D149" t="s">
        <v>25</v>
      </c>
      <c r="E149" t="s">
        <v>20</v>
      </c>
      <c r="F149" t="s">
        <v>32</v>
      </c>
      <c r="G149" t="s">
        <v>16</v>
      </c>
      <c r="H149" t="s">
        <v>17</v>
      </c>
      <c r="I149">
        <v>222.55</v>
      </c>
      <c r="J149">
        <v>8</v>
      </c>
      <c r="K149">
        <v>0</v>
      </c>
      <c r="L149">
        <v>7.11</v>
      </c>
    </row>
    <row r="150" spans="1:12" x14ac:dyDescent="0.25">
      <c r="A150" t="s">
        <v>183</v>
      </c>
      <c r="B150" s="1">
        <v>45228</v>
      </c>
      <c r="C150" s="1">
        <v>45233</v>
      </c>
      <c r="D150" t="s">
        <v>13</v>
      </c>
      <c r="E150" t="s">
        <v>14</v>
      </c>
      <c r="F150" t="s">
        <v>26</v>
      </c>
      <c r="G150" t="s">
        <v>22</v>
      </c>
      <c r="H150" t="s">
        <v>35</v>
      </c>
      <c r="I150">
        <v>118.76</v>
      </c>
      <c r="J150">
        <v>3</v>
      </c>
      <c r="K150">
        <v>0.1</v>
      </c>
      <c r="L150">
        <v>-17.27</v>
      </c>
    </row>
    <row r="151" spans="1:12" x14ac:dyDescent="0.25">
      <c r="A151" t="s">
        <v>184</v>
      </c>
      <c r="B151" s="1">
        <v>45093</v>
      </c>
      <c r="C151" s="1">
        <v>45099</v>
      </c>
      <c r="D151" t="s">
        <v>13</v>
      </c>
      <c r="E151" t="s">
        <v>37</v>
      </c>
      <c r="F151" t="s">
        <v>32</v>
      </c>
      <c r="G151" t="s">
        <v>22</v>
      </c>
      <c r="H151" t="s">
        <v>35</v>
      </c>
      <c r="I151">
        <v>625.89</v>
      </c>
      <c r="J151">
        <v>10</v>
      </c>
      <c r="K151">
        <v>0.2</v>
      </c>
      <c r="L151">
        <v>-77.61</v>
      </c>
    </row>
    <row r="152" spans="1:12" x14ac:dyDescent="0.25">
      <c r="A152" t="s">
        <v>185</v>
      </c>
      <c r="B152" s="1">
        <v>45005</v>
      </c>
      <c r="C152" s="1">
        <v>45012</v>
      </c>
      <c r="D152" t="s">
        <v>28</v>
      </c>
      <c r="E152" t="s">
        <v>37</v>
      </c>
      <c r="F152" t="s">
        <v>26</v>
      </c>
      <c r="G152" t="s">
        <v>16</v>
      </c>
      <c r="H152" t="s">
        <v>33</v>
      </c>
      <c r="I152">
        <v>332.6</v>
      </c>
      <c r="J152">
        <v>10</v>
      </c>
      <c r="K152">
        <v>0.1</v>
      </c>
      <c r="L152">
        <v>27.71</v>
      </c>
    </row>
    <row r="153" spans="1:12" x14ac:dyDescent="0.25">
      <c r="A153" t="s">
        <v>186</v>
      </c>
      <c r="B153" s="1">
        <v>45150</v>
      </c>
      <c r="C153" s="1">
        <v>45155</v>
      </c>
      <c r="D153" t="s">
        <v>13</v>
      </c>
      <c r="E153" t="s">
        <v>14</v>
      </c>
      <c r="F153" t="s">
        <v>21</v>
      </c>
      <c r="G153" t="s">
        <v>22</v>
      </c>
      <c r="H153" t="s">
        <v>23</v>
      </c>
      <c r="I153">
        <v>353.81</v>
      </c>
      <c r="J153">
        <v>3</v>
      </c>
      <c r="K153">
        <v>0.2</v>
      </c>
      <c r="L153">
        <v>-35.65</v>
      </c>
    </row>
    <row r="154" spans="1:12" x14ac:dyDescent="0.25">
      <c r="A154" t="s">
        <v>187</v>
      </c>
      <c r="B154" s="1">
        <v>45124</v>
      </c>
      <c r="C154" s="1">
        <v>45126</v>
      </c>
      <c r="D154" t="s">
        <v>19</v>
      </c>
      <c r="E154" t="s">
        <v>14</v>
      </c>
      <c r="F154" t="s">
        <v>32</v>
      </c>
      <c r="G154" t="s">
        <v>29</v>
      </c>
      <c r="H154" t="s">
        <v>45</v>
      </c>
      <c r="I154">
        <v>135.80000000000001</v>
      </c>
      <c r="J154">
        <v>8</v>
      </c>
      <c r="K154">
        <v>0</v>
      </c>
      <c r="L154">
        <v>17.96</v>
      </c>
    </row>
    <row r="155" spans="1:12" x14ac:dyDescent="0.25">
      <c r="A155" t="s">
        <v>188</v>
      </c>
      <c r="B155" s="1">
        <v>45138</v>
      </c>
      <c r="C155" s="1">
        <v>45141</v>
      </c>
      <c r="D155" t="s">
        <v>25</v>
      </c>
      <c r="E155" t="s">
        <v>20</v>
      </c>
      <c r="F155" t="s">
        <v>15</v>
      </c>
      <c r="G155" t="s">
        <v>16</v>
      </c>
      <c r="H155" t="s">
        <v>33</v>
      </c>
      <c r="I155">
        <v>937.92</v>
      </c>
      <c r="J155">
        <v>10</v>
      </c>
      <c r="K155">
        <v>0.3</v>
      </c>
      <c r="L155">
        <v>-156.13</v>
      </c>
    </row>
    <row r="156" spans="1:12" x14ac:dyDescent="0.25">
      <c r="A156" t="s">
        <v>189</v>
      </c>
      <c r="B156" s="1">
        <v>45228</v>
      </c>
      <c r="C156" s="1">
        <v>45231</v>
      </c>
      <c r="D156" t="s">
        <v>28</v>
      </c>
      <c r="E156" t="s">
        <v>20</v>
      </c>
      <c r="F156" t="s">
        <v>21</v>
      </c>
      <c r="G156" t="s">
        <v>22</v>
      </c>
      <c r="H156" t="s">
        <v>35</v>
      </c>
      <c r="I156">
        <v>807.41</v>
      </c>
      <c r="J156">
        <v>7</v>
      </c>
      <c r="K156">
        <v>0</v>
      </c>
      <c r="L156">
        <v>99.1</v>
      </c>
    </row>
    <row r="157" spans="1:12" x14ac:dyDescent="0.25">
      <c r="A157" t="s">
        <v>190</v>
      </c>
      <c r="B157" s="1">
        <v>45269</v>
      </c>
      <c r="C157" s="1">
        <v>45274</v>
      </c>
      <c r="D157" t="s">
        <v>28</v>
      </c>
      <c r="E157" t="s">
        <v>37</v>
      </c>
      <c r="F157" t="s">
        <v>32</v>
      </c>
      <c r="G157" t="s">
        <v>29</v>
      </c>
      <c r="H157" t="s">
        <v>30</v>
      </c>
      <c r="I157">
        <v>435</v>
      </c>
      <c r="J157">
        <v>7</v>
      </c>
      <c r="K157">
        <v>0.3</v>
      </c>
      <c r="L157">
        <v>-50.52</v>
      </c>
    </row>
    <row r="158" spans="1:12" x14ac:dyDescent="0.25">
      <c r="A158" t="s">
        <v>191</v>
      </c>
      <c r="B158" s="1">
        <v>44992</v>
      </c>
      <c r="C158" s="1">
        <v>44994</v>
      </c>
      <c r="D158" t="s">
        <v>13</v>
      </c>
      <c r="E158" t="s">
        <v>37</v>
      </c>
      <c r="F158" t="s">
        <v>21</v>
      </c>
      <c r="G158" t="s">
        <v>22</v>
      </c>
      <c r="H158" t="s">
        <v>40</v>
      </c>
      <c r="I158">
        <v>990.7</v>
      </c>
      <c r="J158">
        <v>9</v>
      </c>
      <c r="K158">
        <v>0.3</v>
      </c>
      <c r="L158">
        <v>-209.2</v>
      </c>
    </row>
    <row r="159" spans="1:12" x14ac:dyDescent="0.25">
      <c r="A159" t="s">
        <v>192</v>
      </c>
      <c r="B159" s="1">
        <v>44957</v>
      </c>
      <c r="C159" s="1">
        <v>44959</v>
      </c>
      <c r="D159" t="s">
        <v>13</v>
      </c>
      <c r="E159" t="s">
        <v>20</v>
      </c>
      <c r="F159" t="s">
        <v>32</v>
      </c>
      <c r="G159" t="s">
        <v>22</v>
      </c>
      <c r="H159" t="s">
        <v>40</v>
      </c>
      <c r="I159">
        <v>265.02</v>
      </c>
      <c r="J159">
        <v>6</v>
      </c>
      <c r="K159">
        <v>0.3</v>
      </c>
      <c r="L159">
        <v>-49.15</v>
      </c>
    </row>
    <row r="160" spans="1:12" x14ac:dyDescent="0.25">
      <c r="A160" t="s">
        <v>193</v>
      </c>
      <c r="B160" s="1">
        <v>45133</v>
      </c>
      <c r="C160" s="1">
        <v>45137</v>
      </c>
      <c r="D160" t="s">
        <v>28</v>
      </c>
      <c r="E160" t="s">
        <v>14</v>
      </c>
      <c r="F160" t="s">
        <v>21</v>
      </c>
      <c r="G160" t="s">
        <v>16</v>
      </c>
      <c r="H160" t="s">
        <v>17</v>
      </c>
      <c r="I160">
        <v>932.14</v>
      </c>
      <c r="J160">
        <v>5</v>
      </c>
      <c r="K160">
        <v>0</v>
      </c>
      <c r="L160">
        <v>89.92</v>
      </c>
    </row>
    <row r="161" spans="1:12" x14ac:dyDescent="0.25">
      <c r="A161" t="s">
        <v>194</v>
      </c>
      <c r="B161" s="1">
        <v>45154</v>
      </c>
      <c r="C161" s="1">
        <v>45158</v>
      </c>
      <c r="D161" t="s">
        <v>13</v>
      </c>
      <c r="E161" t="s">
        <v>20</v>
      </c>
      <c r="F161" t="s">
        <v>32</v>
      </c>
      <c r="G161" t="s">
        <v>16</v>
      </c>
      <c r="H161" t="s">
        <v>38</v>
      </c>
      <c r="I161">
        <v>686.25</v>
      </c>
      <c r="J161">
        <v>3</v>
      </c>
      <c r="K161">
        <v>0.2</v>
      </c>
      <c r="L161">
        <v>-35.81</v>
      </c>
    </row>
    <row r="162" spans="1:12" x14ac:dyDescent="0.25">
      <c r="A162" t="s">
        <v>195</v>
      </c>
      <c r="B162" s="1">
        <v>45041</v>
      </c>
      <c r="C162" s="1">
        <v>45048</v>
      </c>
      <c r="D162" t="s">
        <v>25</v>
      </c>
      <c r="E162" t="s">
        <v>14</v>
      </c>
      <c r="F162" t="s">
        <v>15</v>
      </c>
      <c r="G162" t="s">
        <v>29</v>
      </c>
      <c r="H162" t="s">
        <v>45</v>
      </c>
      <c r="I162">
        <v>121.06</v>
      </c>
      <c r="J162">
        <v>7</v>
      </c>
      <c r="K162">
        <v>0</v>
      </c>
      <c r="L162">
        <v>29.51</v>
      </c>
    </row>
    <row r="163" spans="1:12" x14ac:dyDescent="0.25">
      <c r="A163" t="s">
        <v>196</v>
      </c>
      <c r="B163" s="1">
        <v>45001</v>
      </c>
      <c r="C163" s="1">
        <v>45007</v>
      </c>
      <c r="D163" t="s">
        <v>25</v>
      </c>
      <c r="E163" t="s">
        <v>20</v>
      </c>
      <c r="F163" t="s">
        <v>21</v>
      </c>
      <c r="G163" t="s">
        <v>29</v>
      </c>
      <c r="H163" t="s">
        <v>43</v>
      </c>
      <c r="I163">
        <v>506.63</v>
      </c>
      <c r="J163">
        <v>7</v>
      </c>
      <c r="K163">
        <v>0</v>
      </c>
      <c r="L163">
        <v>53.07</v>
      </c>
    </row>
    <row r="164" spans="1:12" x14ac:dyDescent="0.25">
      <c r="A164" t="s">
        <v>197</v>
      </c>
      <c r="B164" s="1">
        <v>45186</v>
      </c>
      <c r="C164" s="1">
        <v>45190</v>
      </c>
      <c r="D164" t="s">
        <v>13</v>
      </c>
      <c r="E164" t="s">
        <v>20</v>
      </c>
      <c r="F164" t="s">
        <v>15</v>
      </c>
      <c r="G164" t="s">
        <v>29</v>
      </c>
      <c r="H164" t="s">
        <v>45</v>
      </c>
      <c r="I164">
        <v>897.61</v>
      </c>
      <c r="J164">
        <v>2</v>
      </c>
      <c r="K164">
        <v>0</v>
      </c>
      <c r="L164">
        <v>73.5</v>
      </c>
    </row>
    <row r="165" spans="1:12" x14ac:dyDescent="0.25">
      <c r="A165" t="s">
        <v>198</v>
      </c>
      <c r="B165" s="1">
        <v>45261</v>
      </c>
      <c r="C165" s="1">
        <v>45268</v>
      </c>
      <c r="D165" t="s">
        <v>13</v>
      </c>
      <c r="E165" t="s">
        <v>20</v>
      </c>
      <c r="F165" t="s">
        <v>15</v>
      </c>
      <c r="G165" t="s">
        <v>22</v>
      </c>
      <c r="H165" t="s">
        <v>35</v>
      </c>
      <c r="I165">
        <v>959.37</v>
      </c>
      <c r="J165">
        <v>6</v>
      </c>
      <c r="K165">
        <v>0.2</v>
      </c>
      <c r="L165">
        <v>-109.55</v>
      </c>
    </row>
    <row r="166" spans="1:12" x14ac:dyDescent="0.25">
      <c r="A166" t="s">
        <v>199</v>
      </c>
      <c r="B166" s="1">
        <v>45229</v>
      </c>
      <c r="C166" s="1">
        <v>45230</v>
      </c>
      <c r="D166" t="s">
        <v>28</v>
      </c>
      <c r="E166" t="s">
        <v>20</v>
      </c>
      <c r="F166" t="s">
        <v>15</v>
      </c>
      <c r="G166" t="s">
        <v>22</v>
      </c>
      <c r="H166" t="s">
        <v>35</v>
      </c>
      <c r="I166">
        <v>332.93</v>
      </c>
      <c r="J166">
        <v>1</v>
      </c>
      <c r="K166">
        <v>0.1</v>
      </c>
      <c r="L166">
        <v>27.37</v>
      </c>
    </row>
    <row r="167" spans="1:12" x14ac:dyDescent="0.25">
      <c r="A167" t="s">
        <v>200</v>
      </c>
      <c r="B167" s="1">
        <v>44931</v>
      </c>
      <c r="C167" s="1">
        <v>44936</v>
      </c>
      <c r="D167" t="s">
        <v>25</v>
      </c>
      <c r="E167" t="s">
        <v>14</v>
      </c>
      <c r="F167" t="s">
        <v>32</v>
      </c>
      <c r="G167" t="s">
        <v>22</v>
      </c>
      <c r="H167" t="s">
        <v>40</v>
      </c>
      <c r="I167">
        <v>492.87</v>
      </c>
      <c r="J167">
        <v>3</v>
      </c>
      <c r="K167">
        <v>0.1</v>
      </c>
      <c r="L167">
        <v>24.23</v>
      </c>
    </row>
    <row r="168" spans="1:12" x14ac:dyDescent="0.25">
      <c r="A168" t="s">
        <v>201</v>
      </c>
      <c r="B168" s="1">
        <v>44948</v>
      </c>
      <c r="C168" s="1">
        <v>44949</v>
      </c>
      <c r="D168" t="s">
        <v>28</v>
      </c>
      <c r="E168" t="s">
        <v>14</v>
      </c>
      <c r="F168" t="s">
        <v>21</v>
      </c>
      <c r="G168" t="s">
        <v>16</v>
      </c>
      <c r="H168" t="s">
        <v>38</v>
      </c>
      <c r="I168">
        <v>459.48</v>
      </c>
      <c r="J168">
        <v>7</v>
      </c>
      <c r="K168">
        <v>0.2</v>
      </c>
      <c r="L168">
        <v>-23.78</v>
      </c>
    </row>
    <row r="169" spans="1:12" x14ac:dyDescent="0.25">
      <c r="A169" t="s">
        <v>202</v>
      </c>
      <c r="B169" s="1">
        <v>45018</v>
      </c>
      <c r="C169" s="1">
        <v>45021</v>
      </c>
      <c r="D169" t="s">
        <v>25</v>
      </c>
      <c r="E169" t="s">
        <v>37</v>
      </c>
      <c r="F169" t="s">
        <v>21</v>
      </c>
      <c r="G169" t="s">
        <v>22</v>
      </c>
      <c r="H169" t="s">
        <v>35</v>
      </c>
      <c r="I169">
        <v>562.63</v>
      </c>
      <c r="J169">
        <v>6</v>
      </c>
      <c r="K169">
        <v>0</v>
      </c>
      <c r="L169">
        <v>88.93</v>
      </c>
    </row>
    <row r="170" spans="1:12" x14ac:dyDescent="0.25">
      <c r="A170" t="s">
        <v>203</v>
      </c>
      <c r="B170" s="1">
        <v>45197</v>
      </c>
      <c r="C170" s="1">
        <v>45202</v>
      </c>
      <c r="D170" t="s">
        <v>25</v>
      </c>
      <c r="E170" t="s">
        <v>14</v>
      </c>
      <c r="F170" t="s">
        <v>26</v>
      </c>
      <c r="G170" t="s">
        <v>29</v>
      </c>
      <c r="H170" t="s">
        <v>30</v>
      </c>
      <c r="I170">
        <v>795.75</v>
      </c>
      <c r="J170">
        <v>5</v>
      </c>
      <c r="K170">
        <v>0</v>
      </c>
      <c r="L170">
        <v>67.52</v>
      </c>
    </row>
    <row r="171" spans="1:12" x14ac:dyDescent="0.25">
      <c r="A171" t="s">
        <v>204</v>
      </c>
      <c r="B171" s="1">
        <v>45242</v>
      </c>
      <c r="C171" s="1">
        <v>45248</v>
      </c>
      <c r="D171" t="s">
        <v>19</v>
      </c>
      <c r="E171" t="s">
        <v>20</v>
      </c>
      <c r="F171" t="s">
        <v>32</v>
      </c>
      <c r="G171" t="s">
        <v>29</v>
      </c>
      <c r="H171" t="s">
        <v>45</v>
      </c>
      <c r="I171">
        <v>932.31</v>
      </c>
      <c r="J171">
        <v>8</v>
      </c>
      <c r="K171">
        <v>0.1</v>
      </c>
      <c r="L171">
        <v>-15.97</v>
      </c>
    </row>
    <row r="172" spans="1:12" x14ac:dyDescent="0.25">
      <c r="A172" t="s">
        <v>205</v>
      </c>
      <c r="B172" s="1">
        <v>45285</v>
      </c>
      <c r="C172" s="1">
        <v>45287</v>
      </c>
      <c r="D172" t="s">
        <v>13</v>
      </c>
      <c r="E172" t="s">
        <v>20</v>
      </c>
      <c r="F172" t="s">
        <v>21</v>
      </c>
      <c r="G172" t="s">
        <v>22</v>
      </c>
      <c r="H172" t="s">
        <v>23</v>
      </c>
      <c r="I172">
        <v>558.54</v>
      </c>
      <c r="J172">
        <v>3</v>
      </c>
      <c r="K172">
        <v>0</v>
      </c>
      <c r="L172">
        <v>87.45</v>
      </c>
    </row>
    <row r="173" spans="1:12" x14ac:dyDescent="0.25">
      <c r="A173" t="s">
        <v>206</v>
      </c>
      <c r="B173" s="1">
        <v>45186</v>
      </c>
      <c r="C173" s="1">
        <v>45187</v>
      </c>
      <c r="D173" t="s">
        <v>28</v>
      </c>
      <c r="E173" t="s">
        <v>14</v>
      </c>
      <c r="F173" t="s">
        <v>26</v>
      </c>
      <c r="G173" t="s">
        <v>22</v>
      </c>
      <c r="H173" t="s">
        <v>23</v>
      </c>
      <c r="I173">
        <v>555</v>
      </c>
      <c r="J173">
        <v>4</v>
      </c>
      <c r="K173">
        <v>0.2</v>
      </c>
      <c r="L173">
        <v>-67.31</v>
      </c>
    </row>
    <row r="174" spans="1:12" x14ac:dyDescent="0.25">
      <c r="A174" t="s">
        <v>207</v>
      </c>
      <c r="B174" s="1">
        <v>45172</v>
      </c>
      <c r="C174" s="1">
        <v>45179</v>
      </c>
      <c r="D174" t="s">
        <v>13</v>
      </c>
      <c r="E174" t="s">
        <v>37</v>
      </c>
      <c r="F174" t="s">
        <v>21</v>
      </c>
      <c r="G174" t="s">
        <v>29</v>
      </c>
      <c r="H174" t="s">
        <v>45</v>
      </c>
      <c r="I174">
        <v>160.13</v>
      </c>
      <c r="J174">
        <v>5</v>
      </c>
      <c r="K174">
        <v>0.1</v>
      </c>
      <c r="L174">
        <v>38.590000000000003</v>
      </c>
    </row>
    <row r="175" spans="1:12" x14ac:dyDescent="0.25">
      <c r="A175" t="s">
        <v>208</v>
      </c>
      <c r="B175" s="1">
        <v>45147</v>
      </c>
      <c r="C175" s="1">
        <v>45154</v>
      </c>
      <c r="D175" t="s">
        <v>25</v>
      </c>
      <c r="E175" t="s">
        <v>14</v>
      </c>
      <c r="F175" t="s">
        <v>26</v>
      </c>
      <c r="G175" t="s">
        <v>16</v>
      </c>
      <c r="H175" t="s">
        <v>33</v>
      </c>
      <c r="I175">
        <v>869.53</v>
      </c>
      <c r="J175">
        <v>9</v>
      </c>
      <c r="K175">
        <v>0.1</v>
      </c>
      <c r="L175">
        <v>-14.11</v>
      </c>
    </row>
    <row r="176" spans="1:12" x14ac:dyDescent="0.25">
      <c r="A176" t="s">
        <v>209</v>
      </c>
      <c r="B176" s="1">
        <v>45014</v>
      </c>
      <c r="C176" s="1">
        <v>45016</v>
      </c>
      <c r="D176" t="s">
        <v>19</v>
      </c>
      <c r="E176" t="s">
        <v>37</v>
      </c>
      <c r="F176" t="s">
        <v>26</v>
      </c>
      <c r="G176" t="s">
        <v>16</v>
      </c>
      <c r="H176" t="s">
        <v>33</v>
      </c>
      <c r="I176">
        <v>706.95</v>
      </c>
      <c r="J176">
        <v>8</v>
      </c>
      <c r="K176">
        <v>0.1</v>
      </c>
      <c r="L176">
        <v>7.77</v>
      </c>
    </row>
    <row r="177" spans="1:12" x14ac:dyDescent="0.25">
      <c r="A177" t="s">
        <v>210</v>
      </c>
      <c r="B177" s="1">
        <v>45262</v>
      </c>
      <c r="C177" s="1">
        <v>45265</v>
      </c>
      <c r="D177" t="s">
        <v>28</v>
      </c>
      <c r="E177" t="s">
        <v>14</v>
      </c>
      <c r="F177" t="s">
        <v>15</v>
      </c>
      <c r="G177" t="s">
        <v>16</v>
      </c>
      <c r="H177" t="s">
        <v>38</v>
      </c>
      <c r="I177">
        <v>894.06</v>
      </c>
      <c r="J177">
        <v>5</v>
      </c>
      <c r="K177">
        <v>0.1</v>
      </c>
      <c r="L177">
        <v>-14.31</v>
      </c>
    </row>
    <row r="178" spans="1:12" x14ac:dyDescent="0.25">
      <c r="A178" t="s">
        <v>211</v>
      </c>
      <c r="B178" s="1">
        <v>45003</v>
      </c>
      <c r="C178" s="1">
        <v>45005</v>
      </c>
      <c r="D178" t="s">
        <v>19</v>
      </c>
      <c r="E178" t="s">
        <v>37</v>
      </c>
      <c r="F178" t="s">
        <v>21</v>
      </c>
      <c r="G178" t="s">
        <v>16</v>
      </c>
      <c r="H178" t="s">
        <v>38</v>
      </c>
      <c r="I178">
        <v>103.14</v>
      </c>
      <c r="J178">
        <v>8</v>
      </c>
      <c r="K178">
        <v>0.2</v>
      </c>
      <c r="L178">
        <v>10.38</v>
      </c>
    </row>
    <row r="179" spans="1:12" x14ac:dyDescent="0.25">
      <c r="A179" t="s">
        <v>212</v>
      </c>
      <c r="B179" s="1">
        <v>45142</v>
      </c>
      <c r="C179" s="1">
        <v>45144</v>
      </c>
      <c r="D179" t="s">
        <v>13</v>
      </c>
      <c r="E179" t="s">
        <v>20</v>
      </c>
      <c r="F179" t="s">
        <v>26</v>
      </c>
      <c r="G179" t="s">
        <v>16</v>
      </c>
      <c r="H179" t="s">
        <v>38</v>
      </c>
      <c r="I179">
        <v>865.88</v>
      </c>
      <c r="J179">
        <v>3</v>
      </c>
      <c r="K179">
        <v>0.1</v>
      </c>
      <c r="L179">
        <v>36.9</v>
      </c>
    </row>
    <row r="180" spans="1:12" x14ac:dyDescent="0.25">
      <c r="A180" t="s">
        <v>213</v>
      </c>
      <c r="B180" s="1">
        <v>45073</v>
      </c>
      <c r="C180" s="1">
        <v>45079</v>
      </c>
      <c r="D180" t="s">
        <v>25</v>
      </c>
      <c r="E180" t="s">
        <v>14</v>
      </c>
      <c r="F180" t="s">
        <v>15</v>
      </c>
      <c r="G180" t="s">
        <v>22</v>
      </c>
      <c r="H180" t="s">
        <v>40</v>
      </c>
      <c r="I180">
        <v>948.3</v>
      </c>
      <c r="J180">
        <v>6</v>
      </c>
      <c r="K180">
        <v>0</v>
      </c>
      <c r="L180">
        <v>116.26</v>
      </c>
    </row>
    <row r="181" spans="1:12" x14ac:dyDescent="0.25">
      <c r="A181" t="s">
        <v>214</v>
      </c>
      <c r="B181" s="1">
        <v>45116</v>
      </c>
      <c r="C181" s="1">
        <v>45121</v>
      </c>
      <c r="D181" t="s">
        <v>13</v>
      </c>
      <c r="E181" t="s">
        <v>20</v>
      </c>
      <c r="F181" t="s">
        <v>26</v>
      </c>
      <c r="G181" t="s">
        <v>16</v>
      </c>
      <c r="H181" t="s">
        <v>38</v>
      </c>
      <c r="I181">
        <v>363.21</v>
      </c>
      <c r="J181">
        <v>5</v>
      </c>
      <c r="K181">
        <v>0.3</v>
      </c>
      <c r="L181">
        <v>-86.8</v>
      </c>
    </row>
    <row r="182" spans="1:12" x14ac:dyDescent="0.25">
      <c r="A182" t="s">
        <v>215</v>
      </c>
      <c r="B182" s="1">
        <v>45022</v>
      </c>
      <c r="C182" s="1">
        <v>45023</v>
      </c>
      <c r="D182" t="s">
        <v>25</v>
      </c>
      <c r="E182" t="s">
        <v>37</v>
      </c>
      <c r="F182" t="s">
        <v>15</v>
      </c>
      <c r="G182" t="s">
        <v>22</v>
      </c>
      <c r="H182" t="s">
        <v>35</v>
      </c>
      <c r="I182">
        <v>781.6</v>
      </c>
      <c r="J182">
        <v>5</v>
      </c>
      <c r="K182">
        <v>0.1</v>
      </c>
      <c r="L182">
        <v>29.36</v>
      </c>
    </row>
    <row r="183" spans="1:12" x14ac:dyDescent="0.25">
      <c r="A183" t="s">
        <v>216</v>
      </c>
      <c r="B183" s="1">
        <v>45256</v>
      </c>
      <c r="C183" s="1">
        <v>45262</v>
      </c>
      <c r="D183" t="s">
        <v>13</v>
      </c>
      <c r="E183" t="s">
        <v>20</v>
      </c>
      <c r="F183" t="s">
        <v>26</v>
      </c>
      <c r="G183" t="s">
        <v>29</v>
      </c>
      <c r="H183" t="s">
        <v>45</v>
      </c>
      <c r="I183">
        <v>263.75</v>
      </c>
      <c r="J183">
        <v>8</v>
      </c>
      <c r="K183">
        <v>0.2</v>
      </c>
      <c r="L183">
        <v>-38.590000000000003</v>
      </c>
    </row>
    <row r="184" spans="1:12" x14ac:dyDescent="0.25">
      <c r="A184" t="s">
        <v>217</v>
      </c>
      <c r="B184" s="1">
        <v>44955</v>
      </c>
      <c r="C184" s="1">
        <v>44956</v>
      </c>
      <c r="D184" t="s">
        <v>25</v>
      </c>
      <c r="E184" t="s">
        <v>37</v>
      </c>
      <c r="F184" t="s">
        <v>15</v>
      </c>
      <c r="G184" t="s">
        <v>29</v>
      </c>
      <c r="H184" t="s">
        <v>30</v>
      </c>
      <c r="I184">
        <v>502.77</v>
      </c>
      <c r="J184">
        <v>4</v>
      </c>
      <c r="K184">
        <v>0</v>
      </c>
      <c r="L184">
        <v>58.64</v>
      </c>
    </row>
    <row r="185" spans="1:12" x14ac:dyDescent="0.25">
      <c r="A185" t="s">
        <v>218</v>
      </c>
      <c r="B185" s="1">
        <v>45182</v>
      </c>
      <c r="C185" s="1">
        <v>45187</v>
      </c>
      <c r="D185" t="s">
        <v>25</v>
      </c>
      <c r="E185" t="s">
        <v>14</v>
      </c>
      <c r="F185" t="s">
        <v>21</v>
      </c>
      <c r="G185" t="s">
        <v>16</v>
      </c>
      <c r="H185" t="s">
        <v>33</v>
      </c>
      <c r="I185">
        <v>580.04</v>
      </c>
      <c r="J185">
        <v>10</v>
      </c>
      <c r="K185">
        <v>0.3</v>
      </c>
      <c r="L185">
        <v>-127.69</v>
      </c>
    </row>
    <row r="186" spans="1:12" x14ac:dyDescent="0.25">
      <c r="A186" t="s">
        <v>219</v>
      </c>
      <c r="B186" s="1">
        <v>45195</v>
      </c>
      <c r="C186" s="1">
        <v>45202</v>
      </c>
      <c r="D186" t="s">
        <v>13</v>
      </c>
      <c r="E186" t="s">
        <v>20</v>
      </c>
      <c r="F186" t="s">
        <v>26</v>
      </c>
      <c r="G186" t="s">
        <v>22</v>
      </c>
      <c r="H186" t="s">
        <v>23</v>
      </c>
      <c r="I186">
        <v>135.18</v>
      </c>
      <c r="J186">
        <v>2</v>
      </c>
      <c r="K186">
        <v>0</v>
      </c>
      <c r="L186">
        <v>45.61</v>
      </c>
    </row>
    <row r="187" spans="1:12" x14ac:dyDescent="0.25">
      <c r="A187" t="s">
        <v>220</v>
      </c>
      <c r="B187" s="1">
        <v>45164</v>
      </c>
      <c r="C187" s="1">
        <v>45170</v>
      </c>
      <c r="D187" t="s">
        <v>13</v>
      </c>
      <c r="E187" t="s">
        <v>14</v>
      </c>
      <c r="F187" t="s">
        <v>26</v>
      </c>
      <c r="G187" t="s">
        <v>22</v>
      </c>
      <c r="H187" t="s">
        <v>40</v>
      </c>
      <c r="I187">
        <v>687.42</v>
      </c>
      <c r="J187">
        <v>2</v>
      </c>
      <c r="K187">
        <v>0.3</v>
      </c>
      <c r="L187">
        <v>-90.13</v>
      </c>
    </row>
    <row r="188" spans="1:12" x14ac:dyDescent="0.25">
      <c r="A188" t="s">
        <v>221</v>
      </c>
      <c r="B188" s="1">
        <v>44944</v>
      </c>
      <c r="C188" s="1">
        <v>44949</v>
      </c>
      <c r="D188" t="s">
        <v>13</v>
      </c>
      <c r="E188" t="s">
        <v>20</v>
      </c>
      <c r="F188" t="s">
        <v>32</v>
      </c>
      <c r="G188" t="s">
        <v>16</v>
      </c>
      <c r="H188" t="s">
        <v>17</v>
      </c>
      <c r="I188">
        <v>387.37</v>
      </c>
      <c r="J188">
        <v>2</v>
      </c>
      <c r="K188">
        <v>0</v>
      </c>
      <c r="L188">
        <v>24.54</v>
      </c>
    </row>
    <row r="189" spans="1:12" x14ac:dyDescent="0.25">
      <c r="A189" t="s">
        <v>222</v>
      </c>
      <c r="B189" s="1">
        <v>45014</v>
      </c>
      <c r="C189" s="1">
        <v>45017</v>
      </c>
      <c r="D189" t="s">
        <v>19</v>
      </c>
      <c r="E189" t="s">
        <v>37</v>
      </c>
      <c r="F189" t="s">
        <v>15</v>
      </c>
      <c r="G189" t="s">
        <v>22</v>
      </c>
      <c r="H189" t="s">
        <v>35</v>
      </c>
      <c r="I189">
        <v>537.79999999999995</v>
      </c>
      <c r="J189">
        <v>9</v>
      </c>
      <c r="K189">
        <v>0</v>
      </c>
      <c r="L189">
        <v>101.21</v>
      </c>
    </row>
    <row r="190" spans="1:12" x14ac:dyDescent="0.25">
      <c r="A190" t="s">
        <v>223</v>
      </c>
      <c r="B190" s="1">
        <v>45118</v>
      </c>
      <c r="C190" s="1">
        <v>45123</v>
      </c>
      <c r="D190" t="s">
        <v>25</v>
      </c>
      <c r="E190" t="s">
        <v>37</v>
      </c>
      <c r="F190" t="s">
        <v>26</v>
      </c>
      <c r="G190" t="s">
        <v>22</v>
      </c>
      <c r="H190" t="s">
        <v>35</v>
      </c>
      <c r="I190">
        <v>31.91</v>
      </c>
      <c r="J190">
        <v>3</v>
      </c>
      <c r="K190">
        <v>0.3</v>
      </c>
      <c r="L190">
        <v>12.54</v>
      </c>
    </row>
    <row r="191" spans="1:12" x14ac:dyDescent="0.25">
      <c r="A191" t="s">
        <v>224</v>
      </c>
      <c r="B191" s="1">
        <v>45075</v>
      </c>
      <c r="C191" s="1">
        <v>45076</v>
      </c>
      <c r="D191" t="s">
        <v>13</v>
      </c>
      <c r="E191" t="s">
        <v>37</v>
      </c>
      <c r="F191" t="s">
        <v>15</v>
      </c>
      <c r="G191" t="s">
        <v>16</v>
      </c>
      <c r="H191" t="s">
        <v>38</v>
      </c>
      <c r="I191">
        <v>336.23</v>
      </c>
      <c r="J191">
        <v>4</v>
      </c>
      <c r="K191">
        <v>0.3</v>
      </c>
      <c r="L191">
        <v>-50.31</v>
      </c>
    </row>
    <row r="192" spans="1:12" x14ac:dyDescent="0.25">
      <c r="A192" t="s">
        <v>225</v>
      </c>
      <c r="B192" s="1">
        <v>44935</v>
      </c>
      <c r="C192" s="1">
        <v>44941</v>
      </c>
      <c r="D192" t="s">
        <v>25</v>
      </c>
      <c r="E192" t="s">
        <v>37</v>
      </c>
      <c r="F192" t="s">
        <v>26</v>
      </c>
      <c r="G192" t="s">
        <v>22</v>
      </c>
      <c r="H192" t="s">
        <v>23</v>
      </c>
      <c r="I192">
        <v>993.11</v>
      </c>
      <c r="J192">
        <v>4</v>
      </c>
      <c r="K192">
        <v>0</v>
      </c>
      <c r="L192">
        <v>97.02</v>
      </c>
    </row>
    <row r="193" spans="1:12" x14ac:dyDescent="0.25">
      <c r="A193" t="s">
        <v>226</v>
      </c>
      <c r="B193" s="1">
        <v>45187</v>
      </c>
      <c r="C193" s="1">
        <v>45189</v>
      </c>
      <c r="D193" t="s">
        <v>19</v>
      </c>
      <c r="E193" t="s">
        <v>37</v>
      </c>
      <c r="F193" t="s">
        <v>32</v>
      </c>
      <c r="G193" t="s">
        <v>16</v>
      </c>
      <c r="H193" t="s">
        <v>17</v>
      </c>
      <c r="I193">
        <v>701.5</v>
      </c>
      <c r="J193">
        <v>4</v>
      </c>
      <c r="K193">
        <v>0</v>
      </c>
      <c r="L193">
        <v>86.77</v>
      </c>
    </row>
    <row r="194" spans="1:12" x14ac:dyDescent="0.25">
      <c r="A194" t="s">
        <v>227</v>
      </c>
      <c r="B194" s="1">
        <v>45233</v>
      </c>
      <c r="C194" s="1">
        <v>45235</v>
      </c>
      <c r="D194" t="s">
        <v>13</v>
      </c>
      <c r="E194" t="s">
        <v>14</v>
      </c>
      <c r="F194" t="s">
        <v>26</v>
      </c>
      <c r="G194" t="s">
        <v>29</v>
      </c>
      <c r="H194" t="s">
        <v>43</v>
      </c>
      <c r="I194">
        <v>636.80999999999995</v>
      </c>
      <c r="J194">
        <v>10</v>
      </c>
      <c r="K194">
        <v>0.1</v>
      </c>
      <c r="L194">
        <v>0.61</v>
      </c>
    </row>
    <row r="195" spans="1:12" x14ac:dyDescent="0.25">
      <c r="A195" t="s">
        <v>228</v>
      </c>
      <c r="B195" s="1">
        <v>45106</v>
      </c>
      <c r="C195" s="1">
        <v>45112</v>
      </c>
      <c r="D195" t="s">
        <v>28</v>
      </c>
      <c r="E195" t="s">
        <v>14</v>
      </c>
      <c r="F195" t="s">
        <v>26</v>
      </c>
      <c r="G195" t="s">
        <v>16</v>
      </c>
      <c r="H195" t="s">
        <v>33</v>
      </c>
      <c r="I195">
        <v>995.91</v>
      </c>
      <c r="J195">
        <v>5</v>
      </c>
      <c r="K195">
        <v>0.1</v>
      </c>
      <c r="L195">
        <v>20.9</v>
      </c>
    </row>
    <row r="196" spans="1:12" x14ac:dyDescent="0.25">
      <c r="A196" t="s">
        <v>229</v>
      </c>
      <c r="B196" s="1">
        <v>45159</v>
      </c>
      <c r="C196" s="1">
        <v>45160</v>
      </c>
      <c r="D196" t="s">
        <v>25</v>
      </c>
      <c r="E196" t="s">
        <v>20</v>
      </c>
      <c r="F196" t="s">
        <v>21</v>
      </c>
      <c r="G196" t="s">
        <v>16</v>
      </c>
      <c r="H196" t="s">
        <v>38</v>
      </c>
      <c r="I196">
        <v>903.13</v>
      </c>
      <c r="J196">
        <v>1</v>
      </c>
      <c r="K196">
        <v>0</v>
      </c>
      <c r="L196">
        <v>134.38</v>
      </c>
    </row>
    <row r="197" spans="1:12" x14ac:dyDescent="0.25">
      <c r="A197" t="s">
        <v>230</v>
      </c>
      <c r="B197" s="1">
        <v>45193</v>
      </c>
      <c r="C197" s="1">
        <v>45199</v>
      </c>
      <c r="D197" t="s">
        <v>25</v>
      </c>
      <c r="E197" t="s">
        <v>37</v>
      </c>
      <c r="F197" t="s">
        <v>15</v>
      </c>
      <c r="G197" t="s">
        <v>22</v>
      </c>
      <c r="H197" t="s">
        <v>40</v>
      </c>
      <c r="I197">
        <v>959.53</v>
      </c>
      <c r="J197">
        <v>7</v>
      </c>
      <c r="K197">
        <v>0.3</v>
      </c>
      <c r="L197">
        <v>-149.59</v>
      </c>
    </row>
    <row r="198" spans="1:12" x14ac:dyDescent="0.25">
      <c r="A198" t="s">
        <v>231</v>
      </c>
      <c r="B198" s="1">
        <v>45292</v>
      </c>
      <c r="C198" s="1">
        <v>45295</v>
      </c>
      <c r="D198" t="s">
        <v>13</v>
      </c>
      <c r="E198" t="s">
        <v>14</v>
      </c>
      <c r="F198" t="s">
        <v>32</v>
      </c>
      <c r="G198" t="s">
        <v>16</v>
      </c>
      <c r="H198" t="s">
        <v>17</v>
      </c>
      <c r="I198">
        <v>466.54</v>
      </c>
      <c r="J198">
        <v>9</v>
      </c>
      <c r="K198">
        <v>0.3</v>
      </c>
      <c r="L198">
        <v>-89.81</v>
      </c>
    </row>
    <row r="199" spans="1:12" x14ac:dyDescent="0.25">
      <c r="A199" t="s">
        <v>232</v>
      </c>
      <c r="B199" s="1">
        <v>45121</v>
      </c>
      <c r="C199" s="1">
        <v>45127</v>
      </c>
      <c r="D199" t="s">
        <v>13</v>
      </c>
      <c r="E199" t="s">
        <v>37</v>
      </c>
      <c r="F199" t="s">
        <v>15</v>
      </c>
      <c r="G199" t="s">
        <v>22</v>
      </c>
      <c r="H199" t="s">
        <v>35</v>
      </c>
      <c r="I199">
        <v>186.29</v>
      </c>
      <c r="J199">
        <v>8</v>
      </c>
      <c r="K199">
        <v>0.3</v>
      </c>
      <c r="L199">
        <v>-24.8</v>
      </c>
    </row>
    <row r="200" spans="1:12" x14ac:dyDescent="0.25">
      <c r="A200" t="s">
        <v>233</v>
      </c>
      <c r="B200" s="1">
        <v>45212</v>
      </c>
      <c r="C200" s="1">
        <v>45219</v>
      </c>
      <c r="D200" t="s">
        <v>25</v>
      </c>
      <c r="E200" t="s">
        <v>20</v>
      </c>
      <c r="F200" t="s">
        <v>26</v>
      </c>
      <c r="G200" t="s">
        <v>16</v>
      </c>
      <c r="H200" t="s">
        <v>38</v>
      </c>
      <c r="I200">
        <v>366.29</v>
      </c>
      <c r="J200">
        <v>2</v>
      </c>
      <c r="K200">
        <v>0.1</v>
      </c>
      <c r="L200">
        <v>-1.38</v>
      </c>
    </row>
    <row r="201" spans="1:12" x14ac:dyDescent="0.25">
      <c r="A201" t="s">
        <v>234</v>
      </c>
      <c r="B201" s="1">
        <v>45270</v>
      </c>
      <c r="C201" s="1">
        <v>45277</v>
      </c>
      <c r="D201" t="s">
        <v>13</v>
      </c>
      <c r="E201" t="s">
        <v>14</v>
      </c>
      <c r="F201" t="s">
        <v>21</v>
      </c>
      <c r="G201" t="s">
        <v>29</v>
      </c>
      <c r="H201" t="s">
        <v>45</v>
      </c>
      <c r="I201">
        <v>373.14</v>
      </c>
      <c r="J201">
        <v>8</v>
      </c>
      <c r="K201">
        <v>0.3</v>
      </c>
      <c r="L201">
        <v>-25.59</v>
      </c>
    </row>
    <row r="202" spans="1:12" x14ac:dyDescent="0.25">
      <c r="A202" t="s">
        <v>235</v>
      </c>
      <c r="B202" s="1">
        <v>45127</v>
      </c>
      <c r="C202" s="1">
        <v>45132</v>
      </c>
      <c r="D202" t="s">
        <v>19</v>
      </c>
      <c r="E202" t="s">
        <v>37</v>
      </c>
      <c r="F202" t="s">
        <v>26</v>
      </c>
      <c r="G202" t="s">
        <v>29</v>
      </c>
      <c r="H202" t="s">
        <v>43</v>
      </c>
      <c r="I202">
        <v>704.2</v>
      </c>
      <c r="J202">
        <v>6</v>
      </c>
      <c r="K202">
        <v>0</v>
      </c>
      <c r="L202">
        <v>70</v>
      </c>
    </row>
    <row r="203" spans="1:12" x14ac:dyDescent="0.25">
      <c r="A203" t="s">
        <v>236</v>
      </c>
      <c r="B203" s="1">
        <v>45043</v>
      </c>
      <c r="C203" s="1">
        <v>45044</v>
      </c>
      <c r="D203" t="s">
        <v>13</v>
      </c>
      <c r="E203" t="s">
        <v>14</v>
      </c>
      <c r="F203" t="s">
        <v>26</v>
      </c>
      <c r="G203" t="s">
        <v>16</v>
      </c>
      <c r="H203" t="s">
        <v>33</v>
      </c>
      <c r="I203">
        <v>422.98</v>
      </c>
      <c r="J203">
        <v>3</v>
      </c>
      <c r="K203">
        <v>0</v>
      </c>
      <c r="L203">
        <v>70.23</v>
      </c>
    </row>
    <row r="204" spans="1:12" x14ac:dyDescent="0.25">
      <c r="A204" t="s">
        <v>237</v>
      </c>
      <c r="B204" s="1">
        <v>45150</v>
      </c>
      <c r="C204" s="1">
        <v>45151</v>
      </c>
      <c r="D204" t="s">
        <v>25</v>
      </c>
      <c r="E204" t="s">
        <v>14</v>
      </c>
      <c r="F204" t="s">
        <v>15</v>
      </c>
      <c r="G204" t="s">
        <v>22</v>
      </c>
      <c r="H204" t="s">
        <v>40</v>
      </c>
      <c r="I204">
        <v>179.36</v>
      </c>
      <c r="J204">
        <v>10</v>
      </c>
      <c r="K204">
        <v>0.1</v>
      </c>
      <c r="L204">
        <v>-14.67</v>
      </c>
    </row>
    <row r="205" spans="1:12" x14ac:dyDescent="0.25">
      <c r="A205" t="s">
        <v>238</v>
      </c>
      <c r="B205" s="1">
        <v>44988</v>
      </c>
      <c r="C205" s="1">
        <v>44991</v>
      </c>
      <c r="D205" t="s">
        <v>25</v>
      </c>
      <c r="E205" t="s">
        <v>14</v>
      </c>
      <c r="F205" t="s">
        <v>21</v>
      </c>
      <c r="G205" t="s">
        <v>29</v>
      </c>
      <c r="H205" t="s">
        <v>43</v>
      </c>
      <c r="I205">
        <v>941.72</v>
      </c>
      <c r="J205">
        <v>9</v>
      </c>
      <c r="K205">
        <v>0.2</v>
      </c>
      <c r="L205">
        <v>-63.37</v>
      </c>
    </row>
    <row r="206" spans="1:12" x14ac:dyDescent="0.25">
      <c r="A206" t="s">
        <v>239</v>
      </c>
      <c r="B206" s="1">
        <v>45066</v>
      </c>
      <c r="C206" s="1">
        <v>45070</v>
      </c>
      <c r="D206" t="s">
        <v>19</v>
      </c>
      <c r="E206" t="s">
        <v>20</v>
      </c>
      <c r="F206" t="s">
        <v>32</v>
      </c>
      <c r="G206" t="s">
        <v>22</v>
      </c>
      <c r="H206" t="s">
        <v>40</v>
      </c>
      <c r="I206">
        <v>621.15</v>
      </c>
      <c r="J206">
        <v>1</v>
      </c>
      <c r="K206">
        <v>0.1</v>
      </c>
      <c r="L206">
        <v>-14.21</v>
      </c>
    </row>
    <row r="207" spans="1:12" x14ac:dyDescent="0.25">
      <c r="A207" t="s">
        <v>240</v>
      </c>
      <c r="B207" s="1">
        <v>45248</v>
      </c>
      <c r="C207" s="1">
        <v>45254</v>
      </c>
      <c r="D207" t="s">
        <v>28</v>
      </c>
      <c r="E207" t="s">
        <v>37</v>
      </c>
      <c r="F207" t="s">
        <v>21</v>
      </c>
      <c r="G207" t="s">
        <v>29</v>
      </c>
      <c r="H207" t="s">
        <v>30</v>
      </c>
      <c r="I207">
        <v>879.13</v>
      </c>
      <c r="J207">
        <v>2</v>
      </c>
      <c r="K207">
        <v>0.2</v>
      </c>
      <c r="L207">
        <v>-104.75</v>
      </c>
    </row>
    <row r="208" spans="1:12" x14ac:dyDescent="0.25">
      <c r="A208" t="s">
        <v>241</v>
      </c>
      <c r="B208" s="1">
        <v>45222</v>
      </c>
      <c r="C208" s="1">
        <v>45224</v>
      </c>
      <c r="D208" t="s">
        <v>13</v>
      </c>
      <c r="E208" t="s">
        <v>14</v>
      </c>
      <c r="F208" t="s">
        <v>32</v>
      </c>
      <c r="G208" t="s">
        <v>22</v>
      </c>
      <c r="H208" t="s">
        <v>35</v>
      </c>
      <c r="I208">
        <v>45.84</v>
      </c>
      <c r="J208">
        <v>7</v>
      </c>
      <c r="K208">
        <v>0</v>
      </c>
      <c r="L208">
        <v>39.020000000000003</v>
      </c>
    </row>
    <row r="209" spans="1:12" x14ac:dyDescent="0.25">
      <c r="A209" t="s">
        <v>242</v>
      </c>
      <c r="B209" s="1">
        <v>45287</v>
      </c>
      <c r="C209" s="1">
        <v>45288</v>
      </c>
      <c r="D209" t="s">
        <v>25</v>
      </c>
      <c r="E209" t="s">
        <v>37</v>
      </c>
      <c r="F209" t="s">
        <v>15</v>
      </c>
      <c r="G209" t="s">
        <v>16</v>
      </c>
      <c r="H209" t="s">
        <v>33</v>
      </c>
      <c r="I209">
        <v>490.76</v>
      </c>
      <c r="J209">
        <v>3</v>
      </c>
      <c r="K209">
        <v>0.2</v>
      </c>
      <c r="L209">
        <v>-58.55</v>
      </c>
    </row>
    <row r="210" spans="1:12" x14ac:dyDescent="0.25">
      <c r="A210" t="s">
        <v>243</v>
      </c>
      <c r="B210" s="1">
        <v>44979</v>
      </c>
      <c r="C210" s="1">
        <v>44986</v>
      </c>
      <c r="D210" t="s">
        <v>13</v>
      </c>
      <c r="E210" t="s">
        <v>37</v>
      </c>
      <c r="F210" t="s">
        <v>26</v>
      </c>
      <c r="G210" t="s">
        <v>22</v>
      </c>
      <c r="H210" t="s">
        <v>23</v>
      </c>
      <c r="I210">
        <v>602.25</v>
      </c>
      <c r="J210">
        <v>2</v>
      </c>
      <c r="K210">
        <v>0.2</v>
      </c>
      <c r="L210">
        <v>-52.72</v>
      </c>
    </row>
    <row r="211" spans="1:12" x14ac:dyDescent="0.25">
      <c r="A211" t="s">
        <v>244</v>
      </c>
      <c r="B211" s="1">
        <v>45054</v>
      </c>
      <c r="C211" s="1">
        <v>45055</v>
      </c>
      <c r="D211" t="s">
        <v>25</v>
      </c>
      <c r="E211" t="s">
        <v>37</v>
      </c>
      <c r="F211" t="s">
        <v>21</v>
      </c>
      <c r="G211" t="s">
        <v>29</v>
      </c>
      <c r="H211" t="s">
        <v>45</v>
      </c>
      <c r="I211">
        <v>832.58</v>
      </c>
      <c r="J211">
        <v>2</v>
      </c>
      <c r="K211">
        <v>0</v>
      </c>
      <c r="L211">
        <v>121.94</v>
      </c>
    </row>
    <row r="212" spans="1:12" x14ac:dyDescent="0.25">
      <c r="A212" t="s">
        <v>245</v>
      </c>
      <c r="B212" s="1">
        <v>45065</v>
      </c>
      <c r="C212" s="1">
        <v>45071</v>
      </c>
      <c r="D212" t="s">
        <v>13</v>
      </c>
      <c r="E212" t="s">
        <v>37</v>
      </c>
      <c r="F212" t="s">
        <v>32</v>
      </c>
      <c r="G212" t="s">
        <v>22</v>
      </c>
      <c r="H212" t="s">
        <v>35</v>
      </c>
      <c r="I212">
        <v>479.32</v>
      </c>
      <c r="J212">
        <v>9</v>
      </c>
      <c r="K212">
        <v>0.2</v>
      </c>
      <c r="L212">
        <v>-58.56</v>
      </c>
    </row>
    <row r="213" spans="1:12" x14ac:dyDescent="0.25">
      <c r="A213" t="s">
        <v>246</v>
      </c>
      <c r="B213" s="1">
        <v>45231</v>
      </c>
      <c r="C213" s="1">
        <v>45232</v>
      </c>
      <c r="D213" t="s">
        <v>25</v>
      </c>
      <c r="E213" t="s">
        <v>20</v>
      </c>
      <c r="F213" t="s">
        <v>21</v>
      </c>
      <c r="G213" t="s">
        <v>29</v>
      </c>
      <c r="H213" t="s">
        <v>45</v>
      </c>
      <c r="I213">
        <v>33.4</v>
      </c>
      <c r="J213">
        <v>5</v>
      </c>
      <c r="K213">
        <v>0.2</v>
      </c>
      <c r="L213">
        <v>37.19</v>
      </c>
    </row>
    <row r="214" spans="1:12" x14ac:dyDescent="0.25">
      <c r="A214" t="s">
        <v>247</v>
      </c>
      <c r="B214" s="1">
        <v>45210</v>
      </c>
      <c r="C214" s="1">
        <v>45217</v>
      </c>
      <c r="D214" t="s">
        <v>13</v>
      </c>
      <c r="E214" t="s">
        <v>14</v>
      </c>
      <c r="F214" t="s">
        <v>21</v>
      </c>
      <c r="G214" t="s">
        <v>29</v>
      </c>
      <c r="H214" t="s">
        <v>30</v>
      </c>
      <c r="I214">
        <v>816.64</v>
      </c>
      <c r="J214">
        <v>3</v>
      </c>
      <c r="K214">
        <v>0.2</v>
      </c>
      <c r="L214">
        <v>-49.17</v>
      </c>
    </row>
    <row r="215" spans="1:12" x14ac:dyDescent="0.25">
      <c r="A215" t="s">
        <v>248</v>
      </c>
      <c r="B215" s="1">
        <v>45086</v>
      </c>
      <c r="C215" s="1">
        <v>45093</v>
      </c>
      <c r="D215" t="s">
        <v>25</v>
      </c>
      <c r="E215" t="s">
        <v>37</v>
      </c>
      <c r="F215" t="s">
        <v>15</v>
      </c>
      <c r="G215" t="s">
        <v>29</v>
      </c>
      <c r="H215" t="s">
        <v>43</v>
      </c>
      <c r="I215">
        <v>914.9</v>
      </c>
      <c r="J215">
        <v>2</v>
      </c>
      <c r="K215">
        <v>0.2</v>
      </c>
      <c r="L215">
        <v>-57.66</v>
      </c>
    </row>
    <row r="216" spans="1:12" x14ac:dyDescent="0.25">
      <c r="A216" t="s">
        <v>249</v>
      </c>
      <c r="B216" s="1">
        <v>44974</v>
      </c>
      <c r="C216" s="1">
        <v>44981</v>
      </c>
      <c r="D216" t="s">
        <v>28</v>
      </c>
      <c r="E216" t="s">
        <v>20</v>
      </c>
      <c r="F216" t="s">
        <v>32</v>
      </c>
      <c r="G216" t="s">
        <v>22</v>
      </c>
      <c r="H216" t="s">
        <v>35</v>
      </c>
      <c r="I216">
        <v>945.87</v>
      </c>
      <c r="J216">
        <v>6</v>
      </c>
      <c r="K216">
        <v>0.1</v>
      </c>
      <c r="L216">
        <v>6.45</v>
      </c>
    </row>
    <row r="217" spans="1:12" x14ac:dyDescent="0.25">
      <c r="A217" t="s">
        <v>250</v>
      </c>
      <c r="B217" s="1">
        <v>44944</v>
      </c>
      <c r="C217" s="1">
        <v>44948</v>
      </c>
      <c r="D217" t="s">
        <v>19</v>
      </c>
      <c r="E217" t="s">
        <v>37</v>
      </c>
      <c r="F217" t="s">
        <v>26</v>
      </c>
      <c r="G217" t="s">
        <v>29</v>
      </c>
      <c r="H217" t="s">
        <v>30</v>
      </c>
      <c r="I217">
        <v>256.26</v>
      </c>
      <c r="J217">
        <v>10</v>
      </c>
      <c r="K217">
        <v>0</v>
      </c>
      <c r="L217">
        <v>14.67</v>
      </c>
    </row>
    <row r="218" spans="1:12" x14ac:dyDescent="0.25">
      <c r="A218" t="s">
        <v>251</v>
      </c>
      <c r="B218" s="1">
        <v>45172</v>
      </c>
      <c r="C218" s="1">
        <v>45173</v>
      </c>
      <c r="D218" t="s">
        <v>25</v>
      </c>
      <c r="E218" t="s">
        <v>20</v>
      </c>
      <c r="F218" t="s">
        <v>32</v>
      </c>
      <c r="G218" t="s">
        <v>22</v>
      </c>
      <c r="H218" t="s">
        <v>40</v>
      </c>
      <c r="I218">
        <v>954.97</v>
      </c>
      <c r="J218">
        <v>4</v>
      </c>
      <c r="K218">
        <v>0</v>
      </c>
      <c r="L218">
        <v>90</v>
      </c>
    </row>
    <row r="219" spans="1:12" x14ac:dyDescent="0.25">
      <c r="A219" t="s">
        <v>252</v>
      </c>
      <c r="B219" s="1">
        <v>44962</v>
      </c>
      <c r="C219" s="1">
        <v>44965</v>
      </c>
      <c r="D219" t="s">
        <v>28</v>
      </c>
      <c r="E219" t="s">
        <v>37</v>
      </c>
      <c r="F219" t="s">
        <v>15</v>
      </c>
      <c r="G219" t="s">
        <v>29</v>
      </c>
      <c r="H219" t="s">
        <v>45</v>
      </c>
      <c r="I219">
        <v>880.66</v>
      </c>
      <c r="J219">
        <v>8</v>
      </c>
      <c r="K219">
        <v>0.3</v>
      </c>
      <c r="L219">
        <v>-152.86000000000001</v>
      </c>
    </row>
    <row r="220" spans="1:12" x14ac:dyDescent="0.25">
      <c r="A220" t="s">
        <v>253</v>
      </c>
      <c r="B220" s="1">
        <v>45001</v>
      </c>
      <c r="C220" s="1">
        <v>45007</v>
      </c>
      <c r="D220" t="s">
        <v>19</v>
      </c>
      <c r="E220" t="s">
        <v>37</v>
      </c>
      <c r="F220" t="s">
        <v>26</v>
      </c>
      <c r="G220" t="s">
        <v>16</v>
      </c>
      <c r="H220" t="s">
        <v>38</v>
      </c>
      <c r="I220">
        <v>371</v>
      </c>
      <c r="J220">
        <v>9</v>
      </c>
      <c r="K220">
        <v>0.3</v>
      </c>
      <c r="L220">
        <v>-92.65</v>
      </c>
    </row>
    <row r="221" spans="1:12" x14ac:dyDescent="0.25">
      <c r="A221" t="s">
        <v>254</v>
      </c>
      <c r="B221" s="1">
        <v>45002</v>
      </c>
      <c r="C221" s="1">
        <v>45009</v>
      </c>
      <c r="D221" t="s">
        <v>19</v>
      </c>
      <c r="E221" t="s">
        <v>14</v>
      </c>
      <c r="F221" t="s">
        <v>26</v>
      </c>
      <c r="G221" t="s">
        <v>22</v>
      </c>
      <c r="H221" t="s">
        <v>35</v>
      </c>
      <c r="I221">
        <v>508.2</v>
      </c>
      <c r="J221">
        <v>10</v>
      </c>
      <c r="K221">
        <v>0.1</v>
      </c>
      <c r="L221">
        <v>34.06</v>
      </c>
    </row>
    <row r="222" spans="1:12" x14ac:dyDescent="0.25">
      <c r="A222" t="s">
        <v>255</v>
      </c>
      <c r="B222" s="1">
        <v>44978</v>
      </c>
      <c r="C222" s="1">
        <v>44979</v>
      </c>
      <c r="D222" t="s">
        <v>25</v>
      </c>
      <c r="E222" t="s">
        <v>14</v>
      </c>
      <c r="F222" t="s">
        <v>15</v>
      </c>
      <c r="G222" t="s">
        <v>22</v>
      </c>
      <c r="H222" t="s">
        <v>35</v>
      </c>
      <c r="I222">
        <v>529.76</v>
      </c>
      <c r="J222">
        <v>3</v>
      </c>
      <c r="K222">
        <v>0.3</v>
      </c>
      <c r="L222">
        <v>-68.8</v>
      </c>
    </row>
    <row r="223" spans="1:12" x14ac:dyDescent="0.25">
      <c r="A223" t="s">
        <v>256</v>
      </c>
      <c r="B223" s="1">
        <v>45288</v>
      </c>
      <c r="C223" s="1">
        <v>45291</v>
      </c>
      <c r="D223" t="s">
        <v>25</v>
      </c>
      <c r="E223" t="s">
        <v>37</v>
      </c>
      <c r="F223" t="s">
        <v>32</v>
      </c>
      <c r="G223" t="s">
        <v>29</v>
      </c>
      <c r="H223" t="s">
        <v>30</v>
      </c>
      <c r="I223">
        <v>968.61</v>
      </c>
      <c r="J223">
        <v>7</v>
      </c>
      <c r="K223">
        <v>0.1</v>
      </c>
      <c r="L223">
        <v>41.37</v>
      </c>
    </row>
    <row r="224" spans="1:12" x14ac:dyDescent="0.25">
      <c r="A224" t="s">
        <v>257</v>
      </c>
      <c r="B224" s="1">
        <v>44989</v>
      </c>
      <c r="C224" s="1">
        <v>44991</v>
      </c>
      <c r="D224" t="s">
        <v>25</v>
      </c>
      <c r="E224" t="s">
        <v>20</v>
      </c>
      <c r="F224" t="s">
        <v>21</v>
      </c>
      <c r="G224" t="s">
        <v>16</v>
      </c>
      <c r="H224" t="s">
        <v>17</v>
      </c>
      <c r="I224">
        <v>415.41</v>
      </c>
      <c r="J224">
        <v>7</v>
      </c>
      <c r="K224">
        <v>0.3</v>
      </c>
      <c r="L224">
        <v>-69.48</v>
      </c>
    </row>
    <row r="225" spans="1:12" x14ac:dyDescent="0.25">
      <c r="A225" t="s">
        <v>258</v>
      </c>
      <c r="B225" s="1">
        <v>45055</v>
      </c>
      <c r="C225" s="1">
        <v>45059</v>
      </c>
      <c r="D225" t="s">
        <v>25</v>
      </c>
      <c r="E225" t="s">
        <v>20</v>
      </c>
      <c r="F225" t="s">
        <v>21</v>
      </c>
      <c r="G225" t="s">
        <v>29</v>
      </c>
      <c r="H225" t="s">
        <v>43</v>
      </c>
      <c r="I225">
        <v>432.13</v>
      </c>
      <c r="J225">
        <v>1</v>
      </c>
      <c r="K225">
        <v>0</v>
      </c>
      <c r="L225">
        <v>66.63</v>
      </c>
    </row>
    <row r="226" spans="1:12" x14ac:dyDescent="0.25">
      <c r="A226" t="s">
        <v>259</v>
      </c>
      <c r="B226" s="1">
        <v>45059</v>
      </c>
      <c r="C226" s="1">
        <v>45060</v>
      </c>
      <c r="D226" t="s">
        <v>13</v>
      </c>
      <c r="E226" t="s">
        <v>14</v>
      </c>
      <c r="F226" t="s">
        <v>15</v>
      </c>
      <c r="G226" t="s">
        <v>16</v>
      </c>
      <c r="H226" t="s">
        <v>33</v>
      </c>
      <c r="I226">
        <v>710</v>
      </c>
      <c r="J226">
        <v>9</v>
      </c>
      <c r="K226">
        <v>0.2</v>
      </c>
      <c r="L226">
        <v>-27.78</v>
      </c>
    </row>
    <row r="227" spans="1:12" x14ac:dyDescent="0.25">
      <c r="A227" t="s">
        <v>260</v>
      </c>
      <c r="B227" s="1">
        <v>45235</v>
      </c>
      <c r="C227" s="1">
        <v>45236</v>
      </c>
      <c r="D227" t="s">
        <v>25</v>
      </c>
      <c r="E227" t="s">
        <v>14</v>
      </c>
      <c r="F227" t="s">
        <v>15</v>
      </c>
      <c r="G227" t="s">
        <v>29</v>
      </c>
      <c r="H227" t="s">
        <v>45</v>
      </c>
      <c r="I227">
        <v>624.91999999999996</v>
      </c>
      <c r="J227">
        <v>5</v>
      </c>
      <c r="K227">
        <v>0.1</v>
      </c>
      <c r="L227">
        <v>4.54</v>
      </c>
    </row>
    <row r="228" spans="1:12" x14ac:dyDescent="0.25">
      <c r="A228" t="s">
        <v>261</v>
      </c>
      <c r="B228" s="1">
        <v>44982</v>
      </c>
      <c r="C228" s="1">
        <v>44987</v>
      </c>
      <c r="D228" t="s">
        <v>19</v>
      </c>
      <c r="E228" t="s">
        <v>20</v>
      </c>
      <c r="F228" t="s">
        <v>15</v>
      </c>
      <c r="G228" t="s">
        <v>16</v>
      </c>
      <c r="H228" t="s">
        <v>38</v>
      </c>
      <c r="I228">
        <v>598.12</v>
      </c>
      <c r="J228">
        <v>3</v>
      </c>
      <c r="K228">
        <v>0.1</v>
      </c>
      <c r="L228">
        <v>18.84</v>
      </c>
    </row>
    <row r="229" spans="1:12" x14ac:dyDescent="0.25">
      <c r="A229" t="s">
        <v>262</v>
      </c>
      <c r="B229" s="1">
        <v>45165</v>
      </c>
      <c r="C229" s="1">
        <v>45171</v>
      </c>
      <c r="D229" t="s">
        <v>13</v>
      </c>
      <c r="E229" t="s">
        <v>14</v>
      </c>
      <c r="F229" t="s">
        <v>15</v>
      </c>
      <c r="G229" t="s">
        <v>16</v>
      </c>
      <c r="H229" t="s">
        <v>33</v>
      </c>
      <c r="I229">
        <v>109.18</v>
      </c>
      <c r="J229">
        <v>1</v>
      </c>
      <c r="K229">
        <v>0.1</v>
      </c>
      <c r="L229">
        <v>4.38</v>
      </c>
    </row>
    <row r="230" spans="1:12" x14ac:dyDescent="0.25">
      <c r="A230" t="s">
        <v>263</v>
      </c>
      <c r="B230" s="1">
        <v>44952</v>
      </c>
      <c r="C230" s="1">
        <v>44956</v>
      </c>
      <c r="D230" t="s">
        <v>13</v>
      </c>
      <c r="E230" t="s">
        <v>14</v>
      </c>
      <c r="F230" t="s">
        <v>21</v>
      </c>
      <c r="G230" t="s">
        <v>29</v>
      </c>
      <c r="H230" t="s">
        <v>43</v>
      </c>
      <c r="I230">
        <v>523.71</v>
      </c>
      <c r="J230">
        <v>3</v>
      </c>
      <c r="K230">
        <v>0.3</v>
      </c>
      <c r="L230">
        <v>-61.01</v>
      </c>
    </row>
    <row r="231" spans="1:12" x14ac:dyDescent="0.25">
      <c r="A231" t="s">
        <v>264</v>
      </c>
      <c r="B231" s="1">
        <v>45231</v>
      </c>
      <c r="C231" s="1">
        <v>45232</v>
      </c>
      <c r="D231" t="s">
        <v>13</v>
      </c>
      <c r="E231" t="s">
        <v>37</v>
      </c>
      <c r="F231" t="s">
        <v>32</v>
      </c>
      <c r="G231" t="s">
        <v>16</v>
      </c>
      <c r="H231" t="s">
        <v>17</v>
      </c>
      <c r="I231">
        <v>312</v>
      </c>
      <c r="J231">
        <v>6</v>
      </c>
      <c r="K231">
        <v>0.1</v>
      </c>
      <c r="L231">
        <v>40.369999999999997</v>
      </c>
    </row>
    <row r="232" spans="1:12" x14ac:dyDescent="0.25">
      <c r="A232" t="s">
        <v>265</v>
      </c>
      <c r="B232" s="1">
        <v>44972</v>
      </c>
      <c r="C232" s="1">
        <v>44974</v>
      </c>
      <c r="D232" t="s">
        <v>13</v>
      </c>
      <c r="E232" t="s">
        <v>14</v>
      </c>
      <c r="F232" t="s">
        <v>26</v>
      </c>
      <c r="G232" t="s">
        <v>22</v>
      </c>
      <c r="H232" t="s">
        <v>40</v>
      </c>
      <c r="I232">
        <v>950.53</v>
      </c>
      <c r="J232">
        <v>4</v>
      </c>
      <c r="K232">
        <v>0.3</v>
      </c>
      <c r="L232">
        <v>-177.95</v>
      </c>
    </row>
    <row r="233" spans="1:12" x14ac:dyDescent="0.25">
      <c r="A233" t="s">
        <v>266</v>
      </c>
      <c r="B233" s="1">
        <v>44942</v>
      </c>
      <c r="C233" s="1">
        <v>44947</v>
      </c>
      <c r="D233" t="s">
        <v>13</v>
      </c>
      <c r="E233" t="s">
        <v>20</v>
      </c>
      <c r="F233" t="s">
        <v>21</v>
      </c>
      <c r="G233" t="s">
        <v>16</v>
      </c>
      <c r="H233" t="s">
        <v>17</v>
      </c>
      <c r="I233">
        <v>845.25</v>
      </c>
      <c r="J233">
        <v>2</v>
      </c>
      <c r="K233">
        <v>0</v>
      </c>
      <c r="L233">
        <v>82.6</v>
      </c>
    </row>
    <row r="234" spans="1:12" x14ac:dyDescent="0.25">
      <c r="A234" t="s">
        <v>267</v>
      </c>
      <c r="B234" s="1">
        <v>45161</v>
      </c>
      <c r="C234" s="1">
        <v>45165</v>
      </c>
      <c r="D234" t="s">
        <v>28</v>
      </c>
      <c r="E234" t="s">
        <v>20</v>
      </c>
      <c r="F234" t="s">
        <v>26</v>
      </c>
      <c r="G234" t="s">
        <v>22</v>
      </c>
      <c r="H234" t="s">
        <v>23</v>
      </c>
      <c r="I234">
        <v>469.95</v>
      </c>
      <c r="J234">
        <v>3</v>
      </c>
      <c r="K234">
        <v>0.1</v>
      </c>
      <c r="L234">
        <v>23.46</v>
      </c>
    </row>
    <row r="235" spans="1:12" x14ac:dyDescent="0.25">
      <c r="A235" t="s">
        <v>268</v>
      </c>
      <c r="B235" s="1">
        <v>44962</v>
      </c>
      <c r="C235" s="1">
        <v>44968</v>
      </c>
      <c r="D235" t="s">
        <v>19</v>
      </c>
      <c r="E235" t="s">
        <v>20</v>
      </c>
      <c r="F235" t="s">
        <v>26</v>
      </c>
      <c r="G235" t="s">
        <v>16</v>
      </c>
      <c r="H235" t="s">
        <v>33</v>
      </c>
      <c r="I235">
        <v>360.47</v>
      </c>
      <c r="J235">
        <v>8</v>
      </c>
      <c r="K235">
        <v>0.1</v>
      </c>
      <c r="L235">
        <v>24.34</v>
      </c>
    </row>
    <row r="236" spans="1:12" x14ac:dyDescent="0.25">
      <c r="A236" t="s">
        <v>269</v>
      </c>
      <c r="B236" s="1">
        <v>45182</v>
      </c>
      <c r="C236" s="1">
        <v>45185</v>
      </c>
      <c r="D236" t="s">
        <v>28</v>
      </c>
      <c r="E236" t="s">
        <v>20</v>
      </c>
      <c r="F236" t="s">
        <v>21</v>
      </c>
      <c r="G236" t="s">
        <v>29</v>
      </c>
      <c r="H236" t="s">
        <v>45</v>
      </c>
      <c r="I236">
        <v>255.34</v>
      </c>
      <c r="J236">
        <v>5</v>
      </c>
      <c r="K236">
        <v>0.2</v>
      </c>
      <c r="L236">
        <v>-7.93</v>
      </c>
    </row>
    <row r="237" spans="1:12" x14ac:dyDescent="0.25">
      <c r="A237" t="s">
        <v>270</v>
      </c>
      <c r="B237" s="1">
        <v>44951</v>
      </c>
      <c r="C237" s="1">
        <v>44952</v>
      </c>
      <c r="D237" t="s">
        <v>13</v>
      </c>
      <c r="E237" t="s">
        <v>20</v>
      </c>
      <c r="F237" t="s">
        <v>21</v>
      </c>
      <c r="G237" t="s">
        <v>29</v>
      </c>
      <c r="H237" t="s">
        <v>30</v>
      </c>
      <c r="I237">
        <v>470.92</v>
      </c>
      <c r="J237">
        <v>8</v>
      </c>
      <c r="K237">
        <v>0.3</v>
      </c>
      <c r="L237">
        <v>-103.55</v>
      </c>
    </row>
    <row r="238" spans="1:12" x14ac:dyDescent="0.25">
      <c r="A238" t="s">
        <v>271</v>
      </c>
      <c r="B238" s="1">
        <v>44979</v>
      </c>
      <c r="C238" s="1">
        <v>44981</v>
      </c>
      <c r="D238" t="s">
        <v>28</v>
      </c>
      <c r="E238" t="s">
        <v>37</v>
      </c>
      <c r="F238" t="s">
        <v>21</v>
      </c>
      <c r="G238" t="s">
        <v>22</v>
      </c>
      <c r="H238" t="s">
        <v>35</v>
      </c>
      <c r="I238">
        <v>156.05000000000001</v>
      </c>
      <c r="J238">
        <v>3</v>
      </c>
      <c r="K238">
        <v>0.3</v>
      </c>
      <c r="L238">
        <v>-38.61</v>
      </c>
    </row>
    <row r="239" spans="1:12" x14ac:dyDescent="0.25">
      <c r="A239" t="s">
        <v>272</v>
      </c>
      <c r="B239" s="1">
        <v>45062</v>
      </c>
      <c r="C239" s="1">
        <v>45066</v>
      </c>
      <c r="D239" t="s">
        <v>13</v>
      </c>
      <c r="E239" t="s">
        <v>14</v>
      </c>
      <c r="F239" t="s">
        <v>32</v>
      </c>
      <c r="G239" t="s">
        <v>29</v>
      </c>
      <c r="H239" t="s">
        <v>30</v>
      </c>
      <c r="I239">
        <v>702.57</v>
      </c>
      <c r="J239">
        <v>3</v>
      </c>
      <c r="K239">
        <v>0</v>
      </c>
      <c r="L239">
        <v>113.03</v>
      </c>
    </row>
    <row r="240" spans="1:12" x14ac:dyDescent="0.25">
      <c r="A240" t="s">
        <v>273</v>
      </c>
      <c r="B240" s="1">
        <v>45286</v>
      </c>
      <c r="C240" s="1">
        <v>45291</v>
      </c>
      <c r="D240" t="s">
        <v>28</v>
      </c>
      <c r="E240" t="s">
        <v>37</v>
      </c>
      <c r="F240" t="s">
        <v>15</v>
      </c>
      <c r="G240" t="s">
        <v>22</v>
      </c>
      <c r="H240" t="s">
        <v>23</v>
      </c>
      <c r="I240">
        <v>484.48</v>
      </c>
      <c r="J240">
        <v>6</v>
      </c>
      <c r="K240">
        <v>0</v>
      </c>
      <c r="L240">
        <v>96.57</v>
      </c>
    </row>
    <row r="241" spans="1:12" x14ac:dyDescent="0.25">
      <c r="A241" t="s">
        <v>274</v>
      </c>
      <c r="B241" s="1">
        <v>45050</v>
      </c>
      <c r="C241" s="1">
        <v>45057</v>
      </c>
      <c r="D241" t="s">
        <v>13</v>
      </c>
      <c r="E241" t="s">
        <v>14</v>
      </c>
      <c r="F241" t="s">
        <v>26</v>
      </c>
      <c r="G241" t="s">
        <v>16</v>
      </c>
      <c r="H241" t="s">
        <v>38</v>
      </c>
      <c r="I241">
        <v>609.9</v>
      </c>
      <c r="J241">
        <v>9</v>
      </c>
      <c r="K241">
        <v>0.2</v>
      </c>
      <c r="L241">
        <v>-78.13</v>
      </c>
    </row>
    <row r="242" spans="1:12" x14ac:dyDescent="0.25">
      <c r="A242" t="s">
        <v>275</v>
      </c>
      <c r="B242" s="1">
        <v>45236</v>
      </c>
      <c r="C242" s="1">
        <v>45242</v>
      </c>
      <c r="D242" t="s">
        <v>13</v>
      </c>
      <c r="E242" t="s">
        <v>14</v>
      </c>
      <c r="F242" t="s">
        <v>15</v>
      </c>
      <c r="G242" t="s">
        <v>29</v>
      </c>
      <c r="H242" t="s">
        <v>30</v>
      </c>
      <c r="I242">
        <v>185.56</v>
      </c>
      <c r="J242">
        <v>6</v>
      </c>
      <c r="K242">
        <v>0.3</v>
      </c>
      <c r="L242">
        <v>-32.78</v>
      </c>
    </row>
    <row r="243" spans="1:12" x14ac:dyDescent="0.25">
      <c r="A243" t="s">
        <v>276</v>
      </c>
      <c r="B243" s="1">
        <v>44991</v>
      </c>
      <c r="C243" s="1">
        <v>44992</v>
      </c>
      <c r="D243" t="s">
        <v>13</v>
      </c>
      <c r="E243" t="s">
        <v>14</v>
      </c>
      <c r="F243" t="s">
        <v>21</v>
      </c>
      <c r="G243" t="s">
        <v>16</v>
      </c>
      <c r="H243" t="s">
        <v>33</v>
      </c>
      <c r="I243">
        <v>51.17</v>
      </c>
      <c r="J243">
        <v>3</v>
      </c>
      <c r="K243">
        <v>0.1</v>
      </c>
      <c r="L243">
        <v>-11.56</v>
      </c>
    </row>
    <row r="244" spans="1:12" x14ac:dyDescent="0.25">
      <c r="A244" t="s">
        <v>277</v>
      </c>
      <c r="B244" s="1">
        <v>45237</v>
      </c>
      <c r="C244" s="1">
        <v>45240</v>
      </c>
      <c r="D244" t="s">
        <v>19</v>
      </c>
      <c r="E244" t="s">
        <v>14</v>
      </c>
      <c r="F244" t="s">
        <v>15</v>
      </c>
      <c r="G244" t="s">
        <v>16</v>
      </c>
      <c r="H244" t="s">
        <v>33</v>
      </c>
      <c r="I244">
        <v>471.56</v>
      </c>
      <c r="J244">
        <v>1</v>
      </c>
      <c r="K244">
        <v>0.1</v>
      </c>
      <c r="L244">
        <v>42.6</v>
      </c>
    </row>
    <row r="245" spans="1:12" x14ac:dyDescent="0.25">
      <c r="A245" t="s">
        <v>278</v>
      </c>
      <c r="B245" s="1">
        <v>45214</v>
      </c>
      <c r="C245" s="1">
        <v>45221</v>
      </c>
      <c r="D245" t="s">
        <v>25</v>
      </c>
      <c r="E245" t="s">
        <v>20</v>
      </c>
      <c r="F245" t="s">
        <v>32</v>
      </c>
      <c r="G245" t="s">
        <v>16</v>
      </c>
      <c r="H245" t="s">
        <v>33</v>
      </c>
      <c r="I245">
        <v>146.16999999999999</v>
      </c>
      <c r="J245">
        <v>1</v>
      </c>
      <c r="K245">
        <v>0.1</v>
      </c>
      <c r="L245">
        <v>28.33</v>
      </c>
    </row>
    <row r="246" spans="1:12" x14ac:dyDescent="0.25">
      <c r="A246" t="s">
        <v>279</v>
      </c>
      <c r="B246" s="1">
        <v>45278</v>
      </c>
      <c r="C246" s="1">
        <v>45279</v>
      </c>
      <c r="D246" t="s">
        <v>13</v>
      </c>
      <c r="E246" t="s">
        <v>20</v>
      </c>
      <c r="F246" t="s">
        <v>15</v>
      </c>
      <c r="G246" t="s">
        <v>22</v>
      </c>
      <c r="H246" t="s">
        <v>40</v>
      </c>
      <c r="I246">
        <v>58.53</v>
      </c>
      <c r="J246">
        <v>9</v>
      </c>
      <c r="K246">
        <v>0</v>
      </c>
      <c r="L246">
        <v>19.53</v>
      </c>
    </row>
    <row r="247" spans="1:12" x14ac:dyDescent="0.25">
      <c r="A247" t="s">
        <v>280</v>
      </c>
      <c r="B247" s="1">
        <v>45247</v>
      </c>
      <c r="C247" s="1">
        <v>45250</v>
      </c>
      <c r="D247" t="s">
        <v>28</v>
      </c>
      <c r="E247" t="s">
        <v>37</v>
      </c>
      <c r="F247" t="s">
        <v>32</v>
      </c>
      <c r="G247" t="s">
        <v>22</v>
      </c>
      <c r="H247" t="s">
        <v>35</v>
      </c>
      <c r="I247">
        <v>694.03</v>
      </c>
      <c r="J247">
        <v>7</v>
      </c>
      <c r="K247">
        <v>0.3</v>
      </c>
      <c r="L247">
        <v>-97.66</v>
      </c>
    </row>
    <row r="248" spans="1:12" x14ac:dyDescent="0.25">
      <c r="A248" t="s">
        <v>281</v>
      </c>
      <c r="B248" s="1">
        <v>45152</v>
      </c>
      <c r="C248" s="1">
        <v>45153</v>
      </c>
      <c r="D248" t="s">
        <v>13</v>
      </c>
      <c r="E248" t="s">
        <v>37</v>
      </c>
      <c r="F248" t="s">
        <v>32</v>
      </c>
      <c r="G248" t="s">
        <v>16</v>
      </c>
      <c r="H248" t="s">
        <v>33</v>
      </c>
      <c r="I248">
        <v>922.45</v>
      </c>
      <c r="J248">
        <v>4</v>
      </c>
      <c r="K248">
        <v>0</v>
      </c>
      <c r="L248">
        <v>72.430000000000007</v>
      </c>
    </row>
    <row r="249" spans="1:12" x14ac:dyDescent="0.25">
      <c r="A249" t="s">
        <v>282</v>
      </c>
      <c r="B249" s="1">
        <v>45053</v>
      </c>
      <c r="C249" s="1">
        <v>45059</v>
      </c>
      <c r="D249" t="s">
        <v>13</v>
      </c>
      <c r="E249" t="s">
        <v>37</v>
      </c>
      <c r="F249" t="s">
        <v>32</v>
      </c>
      <c r="G249" t="s">
        <v>22</v>
      </c>
      <c r="H249" t="s">
        <v>23</v>
      </c>
      <c r="I249">
        <v>870.94</v>
      </c>
      <c r="J249">
        <v>1</v>
      </c>
      <c r="K249">
        <v>0.3</v>
      </c>
      <c r="L249">
        <v>-141.81</v>
      </c>
    </row>
    <row r="250" spans="1:12" x14ac:dyDescent="0.25">
      <c r="A250" t="s">
        <v>283</v>
      </c>
      <c r="B250" s="1">
        <v>45131</v>
      </c>
      <c r="C250" s="1">
        <v>45137</v>
      </c>
      <c r="D250" t="s">
        <v>25</v>
      </c>
      <c r="E250" t="s">
        <v>20</v>
      </c>
      <c r="F250" t="s">
        <v>26</v>
      </c>
      <c r="G250" t="s">
        <v>16</v>
      </c>
      <c r="H250" t="s">
        <v>33</v>
      </c>
      <c r="I250">
        <v>200.83</v>
      </c>
      <c r="J250">
        <v>2</v>
      </c>
      <c r="K250">
        <v>0.2</v>
      </c>
      <c r="L250">
        <v>-2.52</v>
      </c>
    </row>
    <row r="251" spans="1:12" x14ac:dyDescent="0.25">
      <c r="A251" t="s">
        <v>284</v>
      </c>
      <c r="B251" s="1">
        <v>45137</v>
      </c>
      <c r="C251" s="1">
        <v>45144</v>
      </c>
      <c r="D251" t="s">
        <v>28</v>
      </c>
      <c r="E251" t="s">
        <v>37</v>
      </c>
      <c r="F251" t="s">
        <v>32</v>
      </c>
      <c r="G251" t="s">
        <v>29</v>
      </c>
      <c r="H251" t="s">
        <v>30</v>
      </c>
      <c r="I251">
        <v>925.56</v>
      </c>
      <c r="J251">
        <v>4</v>
      </c>
      <c r="K251">
        <v>0.1</v>
      </c>
      <c r="L251">
        <v>23.28</v>
      </c>
    </row>
    <row r="252" spans="1:12" x14ac:dyDescent="0.25">
      <c r="A252" t="s">
        <v>285</v>
      </c>
      <c r="B252" s="1">
        <v>45200</v>
      </c>
      <c r="C252" s="1">
        <v>45202</v>
      </c>
      <c r="D252" t="s">
        <v>28</v>
      </c>
      <c r="E252" t="s">
        <v>37</v>
      </c>
      <c r="F252" t="s">
        <v>21</v>
      </c>
      <c r="G252" t="s">
        <v>16</v>
      </c>
      <c r="H252" t="s">
        <v>38</v>
      </c>
      <c r="I252">
        <v>381.54</v>
      </c>
      <c r="J252">
        <v>8</v>
      </c>
      <c r="K252">
        <v>0.3</v>
      </c>
      <c r="L252">
        <v>-45.87</v>
      </c>
    </row>
    <row r="253" spans="1:12" x14ac:dyDescent="0.25">
      <c r="A253" t="s">
        <v>286</v>
      </c>
      <c r="B253" s="1">
        <v>45043</v>
      </c>
      <c r="C253" s="1">
        <v>45044</v>
      </c>
      <c r="D253" t="s">
        <v>13</v>
      </c>
      <c r="E253" t="s">
        <v>37</v>
      </c>
      <c r="F253" t="s">
        <v>32</v>
      </c>
      <c r="G253" t="s">
        <v>22</v>
      </c>
      <c r="H253" t="s">
        <v>23</v>
      </c>
      <c r="I253">
        <v>81.09</v>
      </c>
      <c r="J253">
        <v>10</v>
      </c>
      <c r="K253">
        <v>0.2</v>
      </c>
      <c r="L253">
        <v>-10.44</v>
      </c>
    </row>
    <row r="254" spans="1:12" x14ac:dyDescent="0.25">
      <c r="A254" t="s">
        <v>287</v>
      </c>
      <c r="B254" s="1">
        <v>45241</v>
      </c>
      <c r="C254" s="1">
        <v>45245</v>
      </c>
      <c r="D254" t="s">
        <v>28</v>
      </c>
      <c r="E254" t="s">
        <v>37</v>
      </c>
      <c r="F254" t="s">
        <v>32</v>
      </c>
      <c r="G254" t="s">
        <v>16</v>
      </c>
      <c r="H254" t="s">
        <v>17</v>
      </c>
      <c r="I254">
        <v>719.08</v>
      </c>
      <c r="J254">
        <v>6</v>
      </c>
      <c r="K254">
        <v>0.2</v>
      </c>
      <c r="L254">
        <v>-32.799999999999997</v>
      </c>
    </row>
    <row r="255" spans="1:12" x14ac:dyDescent="0.25">
      <c r="A255" t="s">
        <v>288</v>
      </c>
      <c r="B255" s="1">
        <v>45238</v>
      </c>
      <c r="C255" s="1">
        <v>45244</v>
      </c>
      <c r="D255" t="s">
        <v>28</v>
      </c>
      <c r="E255" t="s">
        <v>37</v>
      </c>
      <c r="F255" t="s">
        <v>32</v>
      </c>
      <c r="G255" t="s">
        <v>16</v>
      </c>
      <c r="H255" t="s">
        <v>17</v>
      </c>
      <c r="I255">
        <v>754.62</v>
      </c>
      <c r="J255">
        <v>10</v>
      </c>
      <c r="K255">
        <v>0.3</v>
      </c>
      <c r="L255">
        <v>-163.41999999999999</v>
      </c>
    </row>
    <row r="256" spans="1:12" x14ac:dyDescent="0.25">
      <c r="A256" t="s">
        <v>289</v>
      </c>
      <c r="B256" s="1">
        <v>45037</v>
      </c>
      <c r="C256" s="1">
        <v>45042</v>
      </c>
      <c r="D256" t="s">
        <v>25</v>
      </c>
      <c r="E256" t="s">
        <v>20</v>
      </c>
      <c r="F256" t="s">
        <v>15</v>
      </c>
      <c r="G256" t="s">
        <v>29</v>
      </c>
      <c r="H256" t="s">
        <v>45</v>
      </c>
      <c r="I256">
        <v>458.46</v>
      </c>
      <c r="J256">
        <v>9</v>
      </c>
      <c r="K256">
        <v>0.2</v>
      </c>
      <c r="L256">
        <v>-38.04</v>
      </c>
    </row>
    <row r="257" spans="1:12" x14ac:dyDescent="0.25">
      <c r="A257" t="s">
        <v>290</v>
      </c>
      <c r="B257" s="1">
        <v>45235</v>
      </c>
      <c r="C257" s="1">
        <v>45237</v>
      </c>
      <c r="D257" t="s">
        <v>13</v>
      </c>
      <c r="E257" t="s">
        <v>14</v>
      </c>
      <c r="F257" t="s">
        <v>21</v>
      </c>
      <c r="G257" t="s">
        <v>29</v>
      </c>
      <c r="H257" t="s">
        <v>30</v>
      </c>
      <c r="I257">
        <v>122.77</v>
      </c>
      <c r="J257">
        <v>4</v>
      </c>
      <c r="K257">
        <v>0.2</v>
      </c>
      <c r="L257">
        <v>-5.87</v>
      </c>
    </row>
    <row r="258" spans="1:12" x14ac:dyDescent="0.25">
      <c r="A258" t="s">
        <v>291</v>
      </c>
      <c r="B258" s="1">
        <v>45083</v>
      </c>
      <c r="C258" s="1">
        <v>45089</v>
      </c>
      <c r="D258" t="s">
        <v>25</v>
      </c>
      <c r="E258" t="s">
        <v>20</v>
      </c>
      <c r="F258" t="s">
        <v>15</v>
      </c>
      <c r="G258" t="s">
        <v>29</v>
      </c>
      <c r="H258" t="s">
        <v>30</v>
      </c>
      <c r="I258">
        <v>39.67</v>
      </c>
      <c r="J258">
        <v>2</v>
      </c>
      <c r="K258">
        <v>0</v>
      </c>
      <c r="L258">
        <v>42.82</v>
      </c>
    </row>
    <row r="259" spans="1:12" x14ac:dyDescent="0.25">
      <c r="A259" t="s">
        <v>292</v>
      </c>
      <c r="B259" s="1">
        <v>45107</v>
      </c>
      <c r="C259" s="1">
        <v>45110</v>
      </c>
      <c r="D259" t="s">
        <v>13</v>
      </c>
      <c r="E259" t="s">
        <v>14</v>
      </c>
      <c r="F259" t="s">
        <v>21</v>
      </c>
      <c r="G259" t="s">
        <v>29</v>
      </c>
      <c r="H259" t="s">
        <v>45</v>
      </c>
      <c r="I259">
        <v>107.42</v>
      </c>
      <c r="J259">
        <v>5</v>
      </c>
      <c r="K259">
        <v>0.1</v>
      </c>
      <c r="L259">
        <v>-11.62</v>
      </c>
    </row>
    <row r="260" spans="1:12" x14ac:dyDescent="0.25">
      <c r="A260" t="s">
        <v>293</v>
      </c>
      <c r="B260" s="1">
        <v>44982</v>
      </c>
      <c r="C260" s="1">
        <v>44984</v>
      </c>
      <c r="D260" t="s">
        <v>19</v>
      </c>
      <c r="E260" t="s">
        <v>20</v>
      </c>
      <c r="F260" t="s">
        <v>32</v>
      </c>
      <c r="G260" t="s">
        <v>22</v>
      </c>
      <c r="H260" t="s">
        <v>23</v>
      </c>
      <c r="I260">
        <v>892.72</v>
      </c>
      <c r="J260">
        <v>1</v>
      </c>
      <c r="K260">
        <v>0.3</v>
      </c>
      <c r="L260">
        <v>-165.37</v>
      </c>
    </row>
    <row r="261" spans="1:12" x14ac:dyDescent="0.25">
      <c r="A261" t="s">
        <v>294</v>
      </c>
      <c r="B261" s="1">
        <v>45213</v>
      </c>
      <c r="C261" s="1">
        <v>45220</v>
      </c>
      <c r="D261" t="s">
        <v>19</v>
      </c>
      <c r="E261" t="s">
        <v>20</v>
      </c>
      <c r="F261" t="s">
        <v>21</v>
      </c>
      <c r="G261" t="s">
        <v>16</v>
      </c>
      <c r="H261" t="s">
        <v>17</v>
      </c>
      <c r="I261">
        <v>368</v>
      </c>
      <c r="J261">
        <v>2</v>
      </c>
      <c r="K261">
        <v>0</v>
      </c>
      <c r="L261">
        <v>51.69</v>
      </c>
    </row>
    <row r="262" spans="1:12" x14ac:dyDescent="0.25">
      <c r="A262" t="s">
        <v>295</v>
      </c>
      <c r="B262" s="1">
        <v>45201</v>
      </c>
      <c r="C262" s="1">
        <v>45206</v>
      </c>
      <c r="D262" t="s">
        <v>13</v>
      </c>
      <c r="E262" t="s">
        <v>14</v>
      </c>
      <c r="F262" t="s">
        <v>32</v>
      </c>
      <c r="G262" t="s">
        <v>16</v>
      </c>
      <c r="H262" t="s">
        <v>38</v>
      </c>
      <c r="I262">
        <v>105.18</v>
      </c>
      <c r="J262">
        <v>1</v>
      </c>
      <c r="K262">
        <v>0.2</v>
      </c>
      <c r="L262">
        <v>21.06</v>
      </c>
    </row>
    <row r="263" spans="1:12" x14ac:dyDescent="0.25">
      <c r="A263" t="s">
        <v>296</v>
      </c>
      <c r="B263" s="1">
        <v>45282</v>
      </c>
      <c r="C263" s="1">
        <v>45284</v>
      </c>
      <c r="D263" t="s">
        <v>19</v>
      </c>
      <c r="E263" t="s">
        <v>14</v>
      </c>
      <c r="F263" t="s">
        <v>15</v>
      </c>
      <c r="G263" t="s">
        <v>22</v>
      </c>
      <c r="H263" t="s">
        <v>23</v>
      </c>
      <c r="I263">
        <v>566.59</v>
      </c>
      <c r="J263">
        <v>8</v>
      </c>
      <c r="K263">
        <v>0.3</v>
      </c>
      <c r="L263">
        <v>-103.1</v>
      </c>
    </row>
    <row r="264" spans="1:12" x14ac:dyDescent="0.25">
      <c r="A264" t="s">
        <v>297</v>
      </c>
      <c r="B264" s="1">
        <v>44960</v>
      </c>
      <c r="C264" s="1">
        <v>44966</v>
      </c>
      <c r="D264" t="s">
        <v>28</v>
      </c>
      <c r="E264" t="s">
        <v>14</v>
      </c>
      <c r="F264" t="s">
        <v>32</v>
      </c>
      <c r="G264" t="s">
        <v>22</v>
      </c>
      <c r="H264" t="s">
        <v>40</v>
      </c>
      <c r="I264">
        <v>145.03</v>
      </c>
      <c r="J264">
        <v>7</v>
      </c>
      <c r="K264">
        <v>0</v>
      </c>
      <c r="L264">
        <v>18.12</v>
      </c>
    </row>
    <row r="265" spans="1:12" x14ac:dyDescent="0.25">
      <c r="A265" t="s">
        <v>298</v>
      </c>
      <c r="B265" s="1">
        <v>45160</v>
      </c>
      <c r="C265" s="1">
        <v>45165</v>
      </c>
      <c r="D265" t="s">
        <v>13</v>
      </c>
      <c r="E265" t="s">
        <v>14</v>
      </c>
      <c r="F265" t="s">
        <v>15</v>
      </c>
      <c r="G265" t="s">
        <v>29</v>
      </c>
      <c r="H265" t="s">
        <v>45</v>
      </c>
      <c r="I265">
        <v>901.65</v>
      </c>
      <c r="J265">
        <v>3</v>
      </c>
      <c r="K265">
        <v>0.3</v>
      </c>
      <c r="L265">
        <v>-160.38</v>
      </c>
    </row>
    <row r="266" spans="1:12" x14ac:dyDescent="0.25">
      <c r="A266" t="s">
        <v>299</v>
      </c>
      <c r="B266" s="1">
        <v>45099</v>
      </c>
      <c r="C266" s="1">
        <v>45100</v>
      </c>
      <c r="D266" t="s">
        <v>19</v>
      </c>
      <c r="E266" t="s">
        <v>37</v>
      </c>
      <c r="F266" t="s">
        <v>26</v>
      </c>
      <c r="G266" t="s">
        <v>29</v>
      </c>
      <c r="H266" t="s">
        <v>43</v>
      </c>
      <c r="I266">
        <v>368.97</v>
      </c>
      <c r="J266">
        <v>7</v>
      </c>
      <c r="K266">
        <v>0</v>
      </c>
      <c r="L266">
        <v>40.020000000000003</v>
      </c>
    </row>
    <row r="267" spans="1:12" x14ac:dyDescent="0.25">
      <c r="A267" t="s">
        <v>300</v>
      </c>
      <c r="B267" s="1">
        <v>45238</v>
      </c>
      <c r="C267" s="1">
        <v>45244</v>
      </c>
      <c r="D267" t="s">
        <v>13</v>
      </c>
      <c r="E267" t="s">
        <v>37</v>
      </c>
      <c r="F267" t="s">
        <v>21</v>
      </c>
      <c r="G267" t="s">
        <v>29</v>
      </c>
      <c r="H267" t="s">
        <v>43</v>
      </c>
      <c r="I267">
        <v>935.02</v>
      </c>
      <c r="J267">
        <v>6</v>
      </c>
      <c r="K267">
        <v>0</v>
      </c>
      <c r="L267">
        <v>80.63</v>
      </c>
    </row>
    <row r="268" spans="1:12" x14ac:dyDescent="0.25">
      <c r="A268" t="s">
        <v>301</v>
      </c>
      <c r="B268" s="1">
        <v>45054</v>
      </c>
      <c r="C268" s="1">
        <v>45056</v>
      </c>
      <c r="D268" t="s">
        <v>13</v>
      </c>
      <c r="E268" t="s">
        <v>14</v>
      </c>
      <c r="F268" t="s">
        <v>26</v>
      </c>
      <c r="G268" t="s">
        <v>16</v>
      </c>
      <c r="H268" t="s">
        <v>33</v>
      </c>
      <c r="I268">
        <v>169.8</v>
      </c>
      <c r="J268">
        <v>9</v>
      </c>
      <c r="K268">
        <v>0.2</v>
      </c>
      <c r="L268">
        <v>-2.83</v>
      </c>
    </row>
    <row r="269" spans="1:12" x14ac:dyDescent="0.25">
      <c r="A269" t="s">
        <v>302</v>
      </c>
      <c r="B269" s="1">
        <v>45132</v>
      </c>
      <c r="C269" s="1">
        <v>45133</v>
      </c>
      <c r="D269" t="s">
        <v>19</v>
      </c>
      <c r="E269" t="s">
        <v>14</v>
      </c>
      <c r="F269" t="s">
        <v>15</v>
      </c>
      <c r="G269" t="s">
        <v>22</v>
      </c>
      <c r="H269" t="s">
        <v>23</v>
      </c>
      <c r="I269">
        <v>853.8</v>
      </c>
      <c r="J269">
        <v>2</v>
      </c>
      <c r="K269">
        <v>0.1</v>
      </c>
      <c r="L269">
        <v>-0.04</v>
      </c>
    </row>
    <row r="270" spans="1:12" x14ac:dyDescent="0.25">
      <c r="A270" t="s">
        <v>303</v>
      </c>
      <c r="B270" s="1">
        <v>44964</v>
      </c>
      <c r="C270" s="1">
        <v>44966</v>
      </c>
      <c r="D270" t="s">
        <v>28</v>
      </c>
      <c r="E270" t="s">
        <v>37</v>
      </c>
      <c r="F270" t="s">
        <v>15</v>
      </c>
      <c r="G270" t="s">
        <v>29</v>
      </c>
      <c r="H270" t="s">
        <v>43</v>
      </c>
      <c r="I270">
        <v>189.91</v>
      </c>
      <c r="J270">
        <v>5</v>
      </c>
      <c r="K270">
        <v>0.2</v>
      </c>
      <c r="L270">
        <v>19.97</v>
      </c>
    </row>
    <row r="271" spans="1:12" x14ac:dyDescent="0.25">
      <c r="A271" t="s">
        <v>304</v>
      </c>
      <c r="B271" s="1">
        <v>44999</v>
      </c>
      <c r="C271" s="1">
        <v>45001</v>
      </c>
      <c r="D271" t="s">
        <v>25</v>
      </c>
      <c r="E271" t="s">
        <v>14</v>
      </c>
      <c r="F271" t="s">
        <v>21</v>
      </c>
      <c r="G271" t="s">
        <v>16</v>
      </c>
      <c r="H271" t="s">
        <v>17</v>
      </c>
      <c r="I271">
        <v>70.599999999999994</v>
      </c>
      <c r="J271">
        <v>8</v>
      </c>
      <c r="K271">
        <v>0.2</v>
      </c>
      <c r="L271">
        <v>1.67</v>
      </c>
    </row>
    <row r="272" spans="1:12" x14ac:dyDescent="0.25">
      <c r="A272" t="s">
        <v>305</v>
      </c>
      <c r="B272" s="1">
        <v>44948</v>
      </c>
      <c r="C272" s="1">
        <v>44955</v>
      </c>
      <c r="D272" t="s">
        <v>28</v>
      </c>
      <c r="E272" t="s">
        <v>20</v>
      </c>
      <c r="F272" t="s">
        <v>32</v>
      </c>
      <c r="G272" t="s">
        <v>29</v>
      </c>
      <c r="H272" t="s">
        <v>45</v>
      </c>
      <c r="I272">
        <v>982.73</v>
      </c>
      <c r="J272">
        <v>7</v>
      </c>
      <c r="K272">
        <v>0.2</v>
      </c>
      <c r="L272">
        <v>-55.51</v>
      </c>
    </row>
    <row r="273" spans="1:12" x14ac:dyDescent="0.25">
      <c r="A273" t="s">
        <v>306</v>
      </c>
      <c r="B273" s="1">
        <v>44953</v>
      </c>
      <c r="C273" s="1">
        <v>44956</v>
      </c>
      <c r="D273" t="s">
        <v>28</v>
      </c>
      <c r="E273" t="s">
        <v>37</v>
      </c>
      <c r="F273" t="s">
        <v>21</v>
      </c>
      <c r="G273" t="s">
        <v>29</v>
      </c>
      <c r="H273" t="s">
        <v>43</v>
      </c>
      <c r="I273">
        <v>584.48</v>
      </c>
      <c r="J273">
        <v>7</v>
      </c>
      <c r="K273">
        <v>0.2</v>
      </c>
      <c r="L273">
        <v>-17.86</v>
      </c>
    </row>
    <row r="274" spans="1:12" x14ac:dyDescent="0.25">
      <c r="A274" t="s">
        <v>307</v>
      </c>
      <c r="B274" s="1">
        <v>45175</v>
      </c>
      <c r="C274" s="1">
        <v>45180</v>
      </c>
      <c r="D274" t="s">
        <v>13</v>
      </c>
      <c r="E274" t="s">
        <v>20</v>
      </c>
      <c r="F274" t="s">
        <v>32</v>
      </c>
      <c r="G274" t="s">
        <v>22</v>
      </c>
      <c r="H274" t="s">
        <v>35</v>
      </c>
      <c r="I274">
        <v>820.73</v>
      </c>
      <c r="J274">
        <v>8</v>
      </c>
      <c r="K274">
        <v>0</v>
      </c>
      <c r="L274">
        <v>96.43</v>
      </c>
    </row>
    <row r="275" spans="1:12" x14ac:dyDescent="0.25">
      <c r="A275" t="s">
        <v>308</v>
      </c>
      <c r="B275" s="1">
        <v>45165</v>
      </c>
      <c r="C275" s="1">
        <v>45169</v>
      </c>
      <c r="D275" t="s">
        <v>19</v>
      </c>
      <c r="E275" t="s">
        <v>20</v>
      </c>
      <c r="F275" t="s">
        <v>32</v>
      </c>
      <c r="G275" t="s">
        <v>22</v>
      </c>
      <c r="H275" t="s">
        <v>40</v>
      </c>
      <c r="I275">
        <v>728.44</v>
      </c>
      <c r="J275">
        <v>3</v>
      </c>
      <c r="K275">
        <v>0.1</v>
      </c>
      <c r="L275">
        <v>45.06</v>
      </c>
    </row>
    <row r="276" spans="1:12" x14ac:dyDescent="0.25">
      <c r="A276" t="s">
        <v>309</v>
      </c>
      <c r="B276" s="1">
        <v>45096</v>
      </c>
      <c r="C276" s="1">
        <v>45098</v>
      </c>
      <c r="D276" t="s">
        <v>13</v>
      </c>
      <c r="E276" t="s">
        <v>20</v>
      </c>
      <c r="F276" t="s">
        <v>32</v>
      </c>
      <c r="G276" t="s">
        <v>29</v>
      </c>
      <c r="H276" t="s">
        <v>45</v>
      </c>
      <c r="I276">
        <v>565.63</v>
      </c>
      <c r="J276">
        <v>9</v>
      </c>
      <c r="K276">
        <v>0.3</v>
      </c>
      <c r="L276">
        <v>-99.76</v>
      </c>
    </row>
    <row r="277" spans="1:12" x14ac:dyDescent="0.25">
      <c r="A277" t="s">
        <v>310</v>
      </c>
      <c r="B277" s="1">
        <v>44956</v>
      </c>
      <c r="C277" s="1">
        <v>44962</v>
      </c>
      <c r="D277" t="s">
        <v>25</v>
      </c>
      <c r="E277" t="s">
        <v>37</v>
      </c>
      <c r="F277" t="s">
        <v>21</v>
      </c>
      <c r="G277" t="s">
        <v>22</v>
      </c>
      <c r="H277" t="s">
        <v>23</v>
      </c>
      <c r="I277">
        <v>841.81</v>
      </c>
      <c r="J277">
        <v>1</v>
      </c>
      <c r="K277">
        <v>0</v>
      </c>
      <c r="L277">
        <v>77.27</v>
      </c>
    </row>
    <row r="278" spans="1:12" x14ac:dyDescent="0.25">
      <c r="A278" t="s">
        <v>311</v>
      </c>
      <c r="B278" s="1">
        <v>45254</v>
      </c>
      <c r="C278" s="1">
        <v>45255</v>
      </c>
      <c r="D278" t="s">
        <v>25</v>
      </c>
      <c r="E278" t="s">
        <v>20</v>
      </c>
      <c r="F278" t="s">
        <v>15</v>
      </c>
      <c r="G278" t="s">
        <v>22</v>
      </c>
      <c r="H278" t="s">
        <v>23</v>
      </c>
      <c r="I278">
        <v>337.21</v>
      </c>
      <c r="J278">
        <v>3</v>
      </c>
      <c r="K278">
        <v>0.2</v>
      </c>
      <c r="L278">
        <v>-39.76</v>
      </c>
    </row>
    <row r="279" spans="1:12" x14ac:dyDescent="0.25">
      <c r="A279" t="s">
        <v>312</v>
      </c>
      <c r="B279" s="1">
        <v>45173</v>
      </c>
      <c r="C279" s="1">
        <v>45177</v>
      </c>
      <c r="D279" t="s">
        <v>25</v>
      </c>
      <c r="E279" t="s">
        <v>20</v>
      </c>
      <c r="F279" t="s">
        <v>21</v>
      </c>
      <c r="G279" t="s">
        <v>29</v>
      </c>
      <c r="H279" t="s">
        <v>43</v>
      </c>
      <c r="I279">
        <v>741.52</v>
      </c>
      <c r="J279">
        <v>9</v>
      </c>
      <c r="K279">
        <v>0.3</v>
      </c>
      <c r="L279">
        <v>-160.27000000000001</v>
      </c>
    </row>
    <row r="280" spans="1:12" x14ac:dyDescent="0.25">
      <c r="A280" t="s">
        <v>313</v>
      </c>
      <c r="B280" s="1">
        <v>45259</v>
      </c>
      <c r="C280" s="1">
        <v>45265</v>
      </c>
      <c r="D280" t="s">
        <v>13</v>
      </c>
      <c r="E280" t="s">
        <v>14</v>
      </c>
      <c r="F280" t="s">
        <v>15</v>
      </c>
      <c r="G280" t="s">
        <v>16</v>
      </c>
      <c r="H280" t="s">
        <v>38</v>
      </c>
      <c r="I280">
        <v>618.41</v>
      </c>
      <c r="J280">
        <v>2</v>
      </c>
      <c r="K280">
        <v>0.3</v>
      </c>
      <c r="L280">
        <v>-137.57</v>
      </c>
    </row>
    <row r="281" spans="1:12" x14ac:dyDescent="0.25">
      <c r="A281" t="s">
        <v>314</v>
      </c>
      <c r="B281" s="1">
        <v>45245</v>
      </c>
      <c r="C281" s="1">
        <v>45248</v>
      </c>
      <c r="D281" t="s">
        <v>13</v>
      </c>
      <c r="E281" t="s">
        <v>37</v>
      </c>
      <c r="F281" t="s">
        <v>21</v>
      </c>
      <c r="G281" t="s">
        <v>22</v>
      </c>
      <c r="H281" t="s">
        <v>23</v>
      </c>
      <c r="I281">
        <v>515.98</v>
      </c>
      <c r="J281">
        <v>9</v>
      </c>
      <c r="K281">
        <v>0.2</v>
      </c>
      <c r="L281">
        <v>-37.92</v>
      </c>
    </row>
    <row r="282" spans="1:12" x14ac:dyDescent="0.25">
      <c r="A282" t="s">
        <v>315</v>
      </c>
      <c r="B282" s="1">
        <v>45252</v>
      </c>
      <c r="C282" s="1">
        <v>45254</v>
      </c>
      <c r="D282" t="s">
        <v>13</v>
      </c>
      <c r="E282" t="s">
        <v>20</v>
      </c>
      <c r="F282" t="s">
        <v>21</v>
      </c>
      <c r="G282" t="s">
        <v>29</v>
      </c>
      <c r="H282" t="s">
        <v>45</v>
      </c>
      <c r="I282">
        <v>541.94000000000005</v>
      </c>
      <c r="J282">
        <v>9</v>
      </c>
      <c r="K282">
        <v>0</v>
      </c>
      <c r="L282">
        <v>60.04</v>
      </c>
    </row>
    <row r="283" spans="1:12" x14ac:dyDescent="0.25">
      <c r="A283" t="s">
        <v>316</v>
      </c>
      <c r="B283" s="1">
        <v>45119</v>
      </c>
      <c r="C283" s="1">
        <v>45126</v>
      </c>
      <c r="D283" t="s">
        <v>19</v>
      </c>
      <c r="E283" t="s">
        <v>20</v>
      </c>
      <c r="F283" t="s">
        <v>21</v>
      </c>
      <c r="G283" t="s">
        <v>29</v>
      </c>
      <c r="H283" t="s">
        <v>30</v>
      </c>
      <c r="I283">
        <v>465.18</v>
      </c>
      <c r="J283">
        <v>7</v>
      </c>
      <c r="K283">
        <v>0</v>
      </c>
      <c r="L283">
        <v>30.95</v>
      </c>
    </row>
    <row r="284" spans="1:12" x14ac:dyDescent="0.25">
      <c r="A284" t="s">
        <v>317</v>
      </c>
      <c r="B284" s="1">
        <v>45248</v>
      </c>
      <c r="C284" s="1">
        <v>45254</v>
      </c>
      <c r="D284" t="s">
        <v>19</v>
      </c>
      <c r="E284" t="s">
        <v>14</v>
      </c>
      <c r="F284" t="s">
        <v>32</v>
      </c>
      <c r="G284" t="s">
        <v>22</v>
      </c>
      <c r="H284" t="s">
        <v>40</v>
      </c>
      <c r="I284">
        <v>990.16</v>
      </c>
      <c r="J284">
        <v>9</v>
      </c>
      <c r="K284">
        <v>0</v>
      </c>
      <c r="L284">
        <v>126.94</v>
      </c>
    </row>
    <row r="285" spans="1:12" x14ac:dyDescent="0.25">
      <c r="A285" t="s">
        <v>318</v>
      </c>
      <c r="B285" s="1">
        <v>44989</v>
      </c>
      <c r="C285" s="1">
        <v>44994</v>
      </c>
      <c r="D285" t="s">
        <v>13</v>
      </c>
      <c r="E285" t="s">
        <v>37</v>
      </c>
      <c r="F285" t="s">
        <v>15</v>
      </c>
      <c r="G285" t="s">
        <v>22</v>
      </c>
      <c r="H285" t="s">
        <v>35</v>
      </c>
      <c r="I285">
        <v>106.11</v>
      </c>
      <c r="J285">
        <v>6</v>
      </c>
      <c r="K285">
        <v>0.2</v>
      </c>
      <c r="L285">
        <v>17.09</v>
      </c>
    </row>
    <row r="286" spans="1:12" x14ac:dyDescent="0.25">
      <c r="A286" t="s">
        <v>319</v>
      </c>
      <c r="B286" s="1">
        <v>45085</v>
      </c>
      <c r="C286" s="1">
        <v>45091</v>
      </c>
      <c r="D286" t="s">
        <v>25</v>
      </c>
      <c r="E286" t="s">
        <v>14</v>
      </c>
      <c r="F286" t="s">
        <v>21</v>
      </c>
      <c r="G286" t="s">
        <v>16</v>
      </c>
      <c r="H286" t="s">
        <v>17</v>
      </c>
      <c r="I286">
        <v>765.02</v>
      </c>
      <c r="J286">
        <v>7</v>
      </c>
      <c r="K286">
        <v>0.2</v>
      </c>
      <c r="L286">
        <v>-63.38</v>
      </c>
    </row>
    <row r="287" spans="1:12" x14ac:dyDescent="0.25">
      <c r="A287" t="s">
        <v>320</v>
      </c>
      <c r="B287" s="1">
        <v>45122</v>
      </c>
      <c r="C287" s="1">
        <v>45127</v>
      </c>
      <c r="D287" t="s">
        <v>19</v>
      </c>
      <c r="E287" t="s">
        <v>37</v>
      </c>
      <c r="F287" t="s">
        <v>15</v>
      </c>
      <c r="G287" t="s">
        <v>22</v>
      </c>
      <c r="H287" t="s">
        <v>23</v>
      </c>
      <c r="I287">
        <v>613.98</v>
      </c>
      <c r="J287">
        <v>3</v>
      </c>
      <c r="K287">
        <v>0.2</v>
      </c>
      <c r="L287">
        <v>-56.98</v>
      </c>
    </row>
    <row r="288" spans="1:12" x14ac:dyDescent="0.25">
      <c r="A288" t="s">
        <v>321</v>
      </c>
      <c r="B288" s="1">
        <v>45019</v>
      </c>
      <c r="C288" s="1">
        <v>45026</v>
      </c>
      <c r="D288" t="s">
        <v>13</v>
      </c>
      <c r="E288" t="s">
        <v>37</v>
      </c>
      <c r="F288" t="s">
        <v>15</v>
      </c>
      <c r="G288" t="s">
        <v>16</v>
      </c>
      <c r="H288" t="s">
        <v>17</v>
      </c>
      <c r="I288">
        <v>930.94</v>
      </c>
      <c r="J288">
        <v>7</v>
      </c>
      <c r="K288">
        <v>0.1</v>
      </c>
      <c r="L288">
        <v>32.22</v>
      </c>
    </row>
    <row r="289" spans="1:12" x14ac:dyDescent="0.25">
      <c r="A289" t="s">
        <v>322</v>
      </c>
      <c r="B289" s="1">
        <v>45066</v>
      </c>
      <c r="C289" s="1">
        <v>45068</v>
      </c>
      <c r="D289" t="s">
        <v>19</v>
      </c>
      <c r="E289" t="s">
        <v>14</v>
      </c>
      <c r="F289" t="s">
        <v>15</v>
      </c>
      <c r="G289" t="s">
        <v>16</v>
      </c>
      <c r="H289" t="s">
        <v>38</v>
      </c>
      <c r="I289">
        <v>420.35</v>
      </c>
      <c r="J289">
        <v>10</v>
      </c>
      <c r="K289">
        <v>0</v>
      </c>
      <c r="L289">
        <v>73.2</v>
      </c>
    </row>
    <row r="290" spans="1:12" x14ac:dyDescent="0.25">
      <c r="A290" t="s">
        <v>323</v>
      </c>
      <c r="B290" s="1">
        <v>45200</v>
      </c>
      <c r="C290" s="1">
        <v>45207</v>
      </c>
      <c r="D290" t="s">
        <v>13</v>
      </c>
      <c r="E290" t="s">
        <v>37</v>
      </c>
      <c r="F290" t="s">
        <v>32</v>
      </c>
      <c r="G290" t="s">
        <v>22</v>
      </c>
      <c r="H290" t="s">
        <v>40</v>
      </c>
      <c r="I290">
        <v>939.57</v>
      </c>
      <c r="J290">
        <v>9</v>
      </c>
      <c r="K290">
        <v>0.3</v>
      </c>
      <c r="L290">
        <v>-181.37</v>
      </c>
    </row>
    <row r="291" spans="1:12" x14ac:dyDescent="0.25">
      <c r="A291" t="s">
        <v>324</v>
      </c>
      <c r="B291" s="1">
        <v>45272</v>
      </c>
      <c r="C291" s="1">
        <v>45277</v>
      </c>
      <c r="D291" t="s">
        <v>25</v>
      </c>
      <c r="E291" t="s">
        <v>14</v>
      </c>
      <c r="F291" t="s">
        <v>15</v>
      </c>
      <c r="G291" t="s">
        <v>16</v>
      </c>
      <c r="H291" t="s">
        <v>38</v>
      </c>
      <c r="I291">
        <v>927.92</v>
      </c>
      <c r="J291">
        <v>5</v>
      </c>
      <c r="K291">
        <v>0.3</v>
      </c>
      <c r="L291">
        <v>-165.37</v>
      </c>
    </row>
    <row r="292" spans="1:12" x14ac:dyDescent="0.25">
      <c r="A292" t="s">
        <v>325</v>
      </c>
      <c r="B292" s="1">
        <v>44930</v>
      </c>
      <c r="C292" s="1">
        <v>44934</v>
      </c>
      <c r="D292" t="s">
        <v>28</v>
      </c>
      <c r="E292" t="s">
        <v>14</v>
      </c>
      <c r="F292" t="s">
        <v>26</v>
      </c>
      <c r="G292" t="s">
        <v>29</v>
      </c>
      <c r="H292" t="s">
        <v>43</v>
      </c>
      <c r="I292">
        <v>844.99</v>
      </c>
      <c r="J292">
        <v>3</v>
      </c>
      <c r="K292">
        <v>0.3</v>
      </c>
      <c r="L292">
        <v>-131.04</v>
      </c>
    </row>
    <row r="293" spans="1:12" x14ac:dyDescent="0.25">
      <c r="A293" t="s">
        <v>326</v>
      </c>
      <c r="B293" s="1">
        <v>45232</v>
      </c>
      <c r="C293" s="1">
        <v>45239</v>
      </c>
      <c r="D293" t="s">
        <v>28</v>
      </c>
      <c r="E293" t="s">
        <v>20</v>
      </c>
      <c r="F293" t="s">
        <v>15</v>
      </c>
      <c r="G293" t="s">
        <v>29</v>
      </c>
      <c r="H293" t="s">
        <v>45</v>
      </c>
      <c r="I293">
        <v>755.49</v>
      </c>
      <c r="J293">
        <v>7</v>
      </c>
      <c r="K293">
        <v>0.3</v>
      </c>
      <c r="L293">
        <v>-159.63999999999999</v>
      </c>
    </row>
    <row r="294" spans="1:12" x14ac:dyDescent="0.25">
      <c r="A294" t="s">
        <v>327</v>
      </c>
      <c r="B294" s="1">
        <v>44951</v>
      </c>
      <c r="C294" s="1">
        <v>44954</v>
      </c>
      <c r="D294" t="s">
        <v>13</v>
      </c>
      <c r="E294" t="s">
        <v>37</v>
      </c>
      <c r="F294" t="s">
        <v>21</v>
      </c>
      <c r="G294" t="s">
        <v>29</v>
      </c>
      <c r="H294" t="s">
        <v>30</v>
      </c>
      <c r="I294">
        <v>180.98</v>
      </c>
      <c r="J294">
        <v>2</v>
      </c>
      <c r="K294">
        <v>0</v>
      </c>
      <c r="L294">
        <v>14.6</v>
      </c>
    </row>
    <row r="295" spans="1:12" x14ac:dyDescent="0.25">
      <c r="A295" t="s">
        <v>328</v>
      </c>
      <c r="B295" s="1">
        <v>45237</v>
      </c>
      <c r="C295" s="1">
        <v>45240</v>
      </c>
      <c r="D295" t="s">
        <v>13</v>
      </c>
      <c r="E295" t="s">
        <v>20</v>
      </c>
      <c r="F295" t="s">
        <v>32</v>
      </c>
      <c r="G295" t="s">
        <v>29</v>
      </c>
      <c r="H295" t="s">
        <v>30</v>
      </c>
      <c r="I295">
        <v>641.08000000000004</v>
      </c>
      <c r="J295">
        <v>2</v>
      </c>
      <c r="K295">
        <v>0.1</v>
      </c>
      <c r="L295">
        <v>5.12</v>
      </c>
    </row>
    <row r="296" spans="1:12" x14ac:dyDescent="0.25">
      <c r="A296" t="s">
        <v>329</v>
      </c>
      <c r="B296" s="1">
        <v>45224</v>
      </c>
      <c r="C296" s="1">
        <v>45225</v>
      </c>
      <c r="D296" t="s">
        <v>19</v>
      </c>
      <c r="E296" t="s">
        <v>14</v>
      </c>
      <c r="F296" t="s">
        <v>26</v>
      </c>
      <c r="G296" t="s">
        <v>29</v>
      </c>
      <c r="H296" t="s">
        <v>30</v>
      </c>
      <c r="I296">
        <v>879.66</v>
      </c>
      <c r="J296">
        <v>6</v>
      </c>
      <c r="K296">
        <v>0</v>
      </c>
      <c r="L296">
        <v>115.77</v>
      </c>
    </row>
    <row r="297" spans="1:12" x14ac:dyDescent="0.25">
      <c r="A297" t="s">
        <v>330</v>
      </c>
      <c r="B297" s="1">
        <v>45030</v>
      </c>
      <c r="C297" s="1">
        <v>45031</v>
      </c>
      <c r="D297" t="s">
        <v>13</v>
      </c>
      <c r="E297" t="s">
        <v>37</v>
      </c>
      <c r="F297" t="s">
        <v>32</v>
      </c>
      <c r="G297" t="s">
        <v>22</v>
      </c>
      <c r="H297" t="s">
        <v>23</v>
      </c>
      <c r="I297">
        <v>462.91</v>
      </c>
      <c r="J297">
        <v>10</v>
      </c>
      <c r="K297">
        <v>0.3</v>
      </c>
      <c r="L297">
        <v>-86.2</v>
      </c>
    </row>
    <row r="298" spans="1:12" x14ac:dyDescent="0.25">
      <c r="A298" t="s">
        <v>331</v>
      </c>
      <c r="B298" s="1">
        <v>45129</v>
      </c>
      <c r="C298" s="1">
        <v>45135</v>
      </c>
      <c r="D298" t="s">
        <v>28</v>
      </c>
      <c r="E298" t="s">
        <v>37</v>
      </c>
      <c r="F298" t="s">
        <v>32</v>
      </c>
      <c r="G298" t="s">
        <v>22</v>
      </c>
      <c r="H298" t="s">
        <v>35</v>
      </c>
      <c r="I298">
        <v>473.43</v>
      </c>
      <c r="J298">
        <v>8</v>
      </c>
      <c r="K298">
        <v>0.1</v>
      </c>
      <c r="L298">
        <v>17.78</v>
      </c>
    </row>
    <row r="299" spans="1:12" x14ac:dyDescent="0.25">
      <c r="A299" t="s">
        <v>332</v>
      </c>
      <c r="B299" s="1">
        <v>45025</v>
      </c>
      <c r="C299" s="1">
        <v>45028</v>
      </c>
      <c r="D299" t="s">
        <v>13</v>
      </c>
      <c r="E299" t="s">
        <v>37</v>
      </c>
      <c r="F299" t="s">
        <v>32</v>
      </c>
      <c r="G299" t="s">
        <v>22</v>
      </c>
      <c r="H299" t="s">
        <v>40</v>
      </c>
      <c r="I299">
        <v>449.97</v>
      </c>
      <c r="J299">
        <v>1</v>
      </c>
      <c r="K299">
        <v>0</v>
      </c>
      <c r="L299">
        <v>41.25</v>
      </c>
    </row>
    <row r="300" spans="1:12" x14ac:dyDescent="0.25">
      <c r="A300" t="s">
        <v>333</v>
      </c>
      <c r="B300" s="1">
        <v>44934</v>
      </c>
      <c r="C300" s="1">
        <v>44936</v>
      </c>
      <c r="D300" t="s">
        <v>25</v>
      </c>
      <c r="E300" t="s">
        <v>14</v>
      </c>
      <c r="F300" t="s">
        <v>26</v>
      </c>
      <c r="G300" t="s">
        <v>29</v>
      </c>
      <c r="H300" t="s">
        <v>45</v>
      </c>
      <c r="I300">
        <v>901.58</v>
      </c>
      <c r="J300">
        <v>9</v>
      </c>
      <c r="K300">
        <v>0.2</v>
      </c>
      <c r="L300">
        <v>-72.930000000000007</v>
      </c>
    </row>
    <row r="301" spans="1:12" x14ac:dyDescent="0.25">
      <c r="A301" t="s">
        <v>334</v>
      </c>
      <c r="B301" s="1">
        <v>45259</v>
      </c>
      <c r="C301" s="1">
        <v>45261</v>
      </c>
      <c r="D301" t="s">
        <v>13</v>
      </c>
      <c r="E301" t="s">
        <v>14</v>
      </c>
      <c r="F301" t="s">
        <v>15</v>
      </c>
      <c r="G301" t="s">
        <v>22</v>
      </c>
      <c r="H301" t="s">
        <v>35</v>
      </c>
      <c r="I301">
        <v>85.29</v>
      </c>
      <c r="J301">
        <v>1</v>
      </c>
      <c r="K301">
        <v>0.3</v>
      </c>
      <c r="L301">
        <v>6.64</v>
      </c>
    </row>
    <row r="302" spans="1:12" x14ac:dyDescent="0.25">
      <c r="A302" t="s">
        <v>335</v>
      </c>
      <c r="B302" s="1">
        <v>44938</v>
      </c>
      <c r="C302" s="1">
        <v>44940</v>
      </c>
      <c r="D302" t="s">
        <v>13</v>
      </c>
      <c r="E302" t="s">
        <v>37</v>
      </c>
      <c r="F302" t="s">
        <v>32</v>
      </c>
      <c r="G302" t="s">
        <v>29</v>
      </c>
      <c r="H302" t="s">
        <v>43</v>
      </c>
      <c r="I302">
        <v>134.56</v>
      </c>
      <c r="J302">
        <v>9</v>
      </c>
      <c r="K302">
        <v>0.1</v>
      </c>
      <c r="L302">
        <v>3.3</v>
      </c>
    </row>
    <row r="303" spans="1:12" x14ac:dyDescent="0.25">
      <c r="A303" t="s">
        <v>336</v>
      </c>
      <c r="B303" s="1">
        <v>45037</v>
      </c>
      <c r="C303" s="1">
        <v>45041</v>
      </c>
      <c r="D303" t="s">
        <v>28</v>
      </c>
      <c r="E303" t="s">
        <v>14</v>
      </c>
      <c r="F303" t="s">
        <v>32</v>
      </c>
      <c r="G303" t="s">
        <v>29</v>
      </c>
      <c r="H303" t="s">
        <v>43</v>
      </c>
      <c r="I303">
        <v>735.94</v>
      </c>
      <c r="J303">
        <v>8</v>
      </c>
      <c r="K303">
        <v>0.1</v>
      </c>
      <c r="L303">
        <v>-10.25</v>
      </c>
    </row>
    <row r="304" spans="1:12" x14ac:dyDescent="0.25">
      <c r="A304" t="s">
        <v>337</v>
      </c>
      <c r="B304" s="1">
        <v>44948</v>
      </c>
      <c r="C304" s="1">
        <v>44951</v>
      </c>
      <c r="D304" t="s">
        <v>28</v>
      </c>
      <c r="E304" t="s">
        <v>20</v>
      </c>
      <c r="F304" t="s">
        <v>26</v>
      </c>
      <c r="G304" t="s">
        <v>16</v>
      </c>
      <c r="H304" t="s">
        <v>38</v>
      </c>
      <c r="I304">
        <v>798.14</v>
      </c>
      <c r="J304">
        <v>8</v>
      </c>
      <c r="K304">
        <v>0</v>
      </c>
      <c r="L304">
        <v>94.49</v>
      </c>
    </row>
    <row r="305" spans="1:12" x14ac:dyDescent="0.25">
      <c r="A305" t="s">
        <v>338</v>
      </c>
      <c r="B305" s="1">
        <v>44955</v>
      </c>
      <c r="C305" s="1">
        <v>44960</v>
      </c>
      <c r="D305" t="s">
        <v>19</v>
      </c>
      <c r="E305" t="s">
        <v>20</v>
      </c>
      <c r="F305" t="s">
        <v>26</v>
      </c>
      <c r="G305" t="s">
        <v>22</v>
      </c>
      <c r="H305" t="s">
        <v>40</v>
      </c>
      <c r="I305">
        <v>746.63</v>
      </c>
      <c r="J305">
        <v>7</v>
      </c>
      <c r="K305">
        <v>0.2</v>
      </c>
      <c r="L305">
        <v>-39.46</v>
      </c>
    </row>
    <row r="306" spans="1:12" x14ac:dyDescent="0.25">
      <c r="A306" t="s">
        <v>339</v>
      </c>
      <c r="B306" s="1">
        <v>45272</v>
      </c>
      <c r="C306" s="1">
        <v>45276</v>
      </c>
      <c r="D306" t="s">
        <v>19</v>
      </c>
      <c r="E306" t="s">
        <v>37</v>
      </c>
      <c r="F306" t="s">
        <v>26</v>
      </c>
      <c r="G306" t="s">
        <v>29</v>
      </c>
      <c r="H306" t="s">
        <v>43</v>
      </c>
      <c r="I306">
        <v>168.64</v>
      </c>
      <c r="J306">
        <v>7</v>
      </c>
      <c r="K306">
        <v>0</v>
      </c>
      <c r="L306">
        <v>46.35</v>
      </c>
    </row>
    <row r="307" spans="1:12" x14ac:dyDescent="0.25">
      <c r="A307" t="s">
        <v>340</v>
      </c>
      <c r="B307" s="1">
        <v>45029</v>
      </c>
      <c r="C307" s="1">
        <v>45031</v>
      </c>
      <c r="D307" t="s">
        <v>13</v>
      </c>
      <c r="E307" t="s">
        <v>37</v>
      </c>
      <c r="F307" t="s">
        <v>15</v>
      </c>
      <c r="G307" t="s">
        <v>29</v>
      </c>
      <c r="H307" t="s">
        <v>30</v>
      </c>
      <c r="I307">
        <v>783</v>
      </c>
      <c r="J307">
        <v>6</v>
      </c>
      <c r="K307">
        <v>0</v>
      </c>
      <c r="L307">
        <v>60.65</v>
      </c>
    </row>
    <row r="308" spans="1:12" x14ac:dyDescent="0.25">
      <c r="A308" t="s">
        <v>341</v>
      </c>
      <c r="B308" s="1">
        <v>45108</v>
      </c>
      <c r="C308" s="1">
        <v>45110</v>
      </c>
      <c r="D308" t="s">
        <v>13</v>
      </c>
      <c r="E308" t="s">
        <v>37</v>
      </c>
      <c r="F308" t="s">
        <v>21</v>
      </c>
      <c r="G308" t="s">
        <v>16</v>
      </c>
      <c r="H308" t="s">
        <v>17</v>
      </c>
      <c r="I308">
        <v>578.49</v>
      </c>
      <c r="J308">
        <v>4</v>
      </c>
      <c r="K308">
        <v>0.1</v>
      </c>
      <c r="L308">
        <v>14.58</v>
      </c>
    </row>
    <row r="309" spans="1:12" x14ac:dyDescent="0.25">
      <c r="A309" t="s">
        <v>342</v>
      </c>
      <c r="B309" s="1">
        <v>45262</v>
      </c>
      <c r="C309" s="1">
        <v>45267</v>
      </c>
      <c r="D309" t="s">
        <v>13</v>
      </c>
      <c r="E309" t="s">
        <v>14</v>
      </c>
      <c r="F309" t="s">
        <v>32</v>
      </c>
      <c r="G309" t="s">
        <v>22</v>
      </c>
      <c r="H309" t="s">
        <v>23</v>
      </c>
      <c r="I309">
        <v>759.54</v>
      </c>
      <c r="J309">
        <v>2</v>
      </c>
      <c r="K309">
        <v>0.1</v>
      </c>
      <c r="L309">
        <v>37.49</v>
      </c>
    </row>
    <row r="310" spans="1:12" x14ac:dyDescent="0.25">
      <c r="A310" t="s">
        <v>343</v>
      </c>
      <c r="B310" s="1">
        <v>45217</v>
      </c>
      <c r="C310" s="1">
        <v>45218</v>
      </c>
      <c r="D310" t="s">
        <v>19</v>
      </c>
      <c r="E310" t="s">
        <v>37</v>
      </c>
      <c r="F310" t="s">
        <v>15</v>
      </c>
      <c r="G310" t="s">
        <v>29</v>
      </c>
      <c r="H310" t="s">
        <v>45</v>
      </c>
      <c r="I310">
        <v>128.41999999999999</v>
      </c>
      <c r="J310">
        <v>7</v>
      </c>
      <c r="K310">
        <v>0.3</v>
      </c>
      <c r="L310">
        <v>-13.69</v>
      </c>
    </row>
    <row r="311" spans="1:12" x14ac:dyDescent="0.25">
      <c r="A311" t="s">
        <v>344</v>
      </c>
      <c r="B311" s="1">
        <v>45053</v>
      </c>
      <c r="C311" s="1">
        <v>45056</v>
      </c>
      <c r="D311" t="s">
        <v>28</v>
      </c>
      <c r="E311" t="s">
        <v>37</v>
      </c>
      <c r="F311" t="s">
        <v>15</v>
      </c>
      <c r="G311" t="s">
        <v>16</v>
      </c>
      <c r="H311" t="s">
        <v>38</v>
      </c>
      <c r="I311">
        <v>611.88</v>
      </c>
      <c r="J311">
        <v>1</v>
      </c>
      <c r="K311">
        <v>0.2</v>
      </c>
      <c r="L311">
        <v>-25.38</v>
      </c>
    </row>
    <row r="312" spans="1:12" x14ac:dyDescent="0.25">
      <c r="A312" t="s">
        <v>345</v>
      </c>
      <c r="B312" s="1">
        <v>44999</v>
      </c>
      <c r="C312" s="1">
        <v>45000</v>
      </c>
      <c r="D312" t="s">
        <v>28</v>
      </c>
      <c r="E312" t="s">
        <v>37</v>
      </c>
      <c r="F312" t="s">
        <v>32</v>
      </c>
      <c r="G312" t="s">
        <v>29</v>
      </c>
      <c r="H312" t="s">
        <v>30</v>
      </c>
      <c r="I312">
        <v>166.92</v>
      </c>
      <c r="J312">
        <v>7</v>
      </c>
      <c r="K312">
        <v>0.2</v>
      </c>
      <c r="L312">
        <v>-8.07</v>
      </c>
    </row>
    <row r="313" spans="1:12" x14ac:dyDescent="0.25">
      <c r="A313" t="s">
        <v>346</v>
      </c>
      <c r="B313" s="1">
        <v>45285</v>
      </c>
      <c r="C313" s="1">
        <v>45287</v>
      </c>
      <c r="D313" t="s">
        <v>28</v>
      </c>
      <c r="E313" t="s">
        <v>14</v>
      </c>
      <c r="F313" t="s">
        <v>26</v>
      </c>
      <c r="G313" t="s">
        <v>16</v>
      </c>
      <c r="H313" t="s">
        <v>17</v>
      </c>
      <c r="I313">
        <v>776.44</v>
      </c>
      <c r="J313">
        <v>9</v>
      </c>
      <c r="K313">
        <v>0.2</v>
      </c>
      <c r="L313">
        <v>-52.76</v>
      </c>
    </row>
    <row r="314" spans="1:12" x14ac:dyDescent="0.25">
      <c r="A314" t="s">
        <v>347</v>
      </c>
      <c r="B314" s="1">
        <v>44931</v>
      </c>
      <c r="C314" s="1">
        <v>44938</v>
      </c>
      <c r="D314" t="s">
        <v>25</v>
      </c>
      <c r="E314" t="s">
        <v>14</v>
      </c>
      <c r="F314" t="s">
        <v>15</v>
      </c>
      <c r="G314" t="s">
        <v>16</v>
      </c>
      <c r="H314" t="s">
        <v>33</v>
      </c>
      <c r="I314">
        <v>700.07</v>
      </c>
      <c r="J314">
        <v>7</v>
      </c>
      <c r="K314">
        <v>0.3</v>
      </c>
      <c r="L314">
        <v>-109.88</v>
      </c>
    </row>
    <row r="315" spans="1:12" x14ac:dyDescent="0.25">
      <c r="A315" t="s">
        <v>348</v>
      </c>
      <c r="B315" s="1">
        <v>44974</v>
      </c>
      <c r="C315" s="1">
        <v>44975</v>
      </c>
      <c r="D315" t="s">
        <v>25</v>
      </c>
      <c r="E315" t="s">
        <v>37</v>
      </c>
      <c r="F315" t="s">
        <v>32</v>
      </c>
      <c r="G315" t="s">
        <v>16</v>
      </c>
      <c r="H315" t="s">
        <v>38</v>
      </c>
      <c r="I315">
        <v>607.04999999999995</v>
      </c>
      <c r="J315">
        <v>10</v>
      </c>
      <c r="K315">
        <v>0.3</v>
      </c>
      <c r="L315">
        <v>-128.69999999999999</v>
      </c>
    </row>
    <row r="316" spans="1:12" x14ac:dyDescent="0.25">
      <c r="A316" t="s">
        <v>349</v>
      </c>
      <c r="B316" s="1">
        <v>44981</v>
      </c>
      <c r="C316" s="1">
        <v>44982</v>
      </c>
      <c r="D316" t="s">
        <v>19</v>
      </c>
      <c r="E316" t="s">
        <v>37</v>
      </c>
      <c r="F316" t="s">
        <v>32</v>
      </c>
      <c r="G316" t="s">
        <v>16</v>
      </c>
      <c r="H316" t="s">
        <v>38</v>
      </c>
      <c r="I316">
        <v>910.28</v>
      </c>
      <c r="J316">
        <v>2</v>
      </c>
      <c r="K316">
        <v>0.1</v>
      </c>
      <c r="L316">
        <v>-4.09</v>
      </c>
    </row>
    <row r="317" spans="1:12" x14ac:dyDescent="0.25">
      <c r="A317" t="s">
        <v>350</v>
      </c>
      <c r="B317" s="1">
        <v>45183</v>
      </c>
      <c r="C317" s="1">
        <v>45188</v>
      </c>
      <c r="D317" t="s">
        <v>19</v>
      </c>
      <c r="E317" t="s">
        <v>14</v>
      </c>
      <c r="F317" t="s">
        <v>15</v>
      </c>
      <c r="G317" t="s">
        <v>22</v>
      </c>
      <c r="H317" t="s">
        <v>40</v>
      </c>
      <c r="I317">
        <v>435.12</v>
      </c>
      <c r="J317">
        <v>6</v>
      </c>
      <c r="K317">
        <v>0.1</v>
      </c>
      <c r="L317">
        <v>46.31</v>
      </c>
    </row>
    <row r="318" spans="1:12" x14ac:dyDescent="0.25">
      <c r="A318" t="s">
        <v>351</v>
      </c>
      <c r="B318" s="1">
        <v>45017</v>
      </c>
      <c r="C318" s="1">
        <v>45024</v>
      </c>
      <c r="D318" t="s">
        <v>25</v>
      </c>
      <c r="E318" t="s">
        <v>20</v>
      </c>
      <c r="F318" t="s">
        <v>21</v>
      </c>
      <c r="G318" t="s">
        <v>22</v>
      </c>
      <c r="H318" t="s">
        <v>23</v>
      </c>
      <c r="I318">
        <v>170.28</v>
      </c>
      <c r="J318">
        <v>3</v>
      </c>
      <c r="K318">
        <v>0</v>
      </c>
      <c r="L318">
        <v>6.77</v>
      </c>
    </row>
    <row r="319" spans="1:12" x14ac:dyDescent="0.25">
      <c r="A319" t="s">
        <v>352</v>
      </c>
      <c r="B319" s="1">
        <v>45268</v>
      </c>
      <c r="C319" s="1">
        <v>45271</v>
      </c>
      <c r="D319" t="s">
        <v>25</v>
      </c>
      <c r="E319" t="s">
        <v>37</v>
      </c>
      <c r="F319" t="s">
        <v>32</v>
      </c>
      <c r="G319" t="s">
        <v>16</v>
      </c>
      <c r="H319" t="s">
        <v>17</v>
      </c>
      <c r="I319">
        <v>118.78</v>
      </c>
      <c r="J319">
        <v>5</v>
      </c>
      <c r="K319">
        <v>0</v>
      </c>
      <c r="L319">
        <v>-6.85</v>
      </c>
    </row>
    <row r="320" spans="1:12" x14ac:dyDescent="0.25">
      <c r="A320" t="s">
        <v>353</v>
      </c>
      <c r="B320" s="1">
        <v>45066</v>
      </c>
      <c r="C320" s="1">
        <v>45067</v>
      </c>
      <c r="D320" t="s">
        <v>13</v>
      </c>
      <c r="E320" t="s">
        <v>14</v>
      </c>
      <c r="F320" t="s">
        <v>32</v>
      </c>
      <c r="G320" t="s">
        <v>16</v>
      </c>
      <c r="H320" t="s">
        <v>38</v>
      </c>
      <c r="I320">
        <v>874.68</v>
      </c>
      <c r="J320">
        <v>10</v>
      </c>
      <c r="K320">
        <v>0.3</v>
      </c>
      <c r="L320">
        <v>-187.78</v>
      </c>
    </row>
    <row r="321" spans="1:12" x14ac:dyDescent="0.25">
      <c r="A321" t="s">
        <v>354</v>
      </c>
      <c r="B321" s="1">
        <v>45159</v>
      </c>
      <c r="C321" s="1">
        <v>45164</v>
      </c>
      <c r="D321" t="s">
        <v>13</v>
      </c>
      <c r="E321" t="s">
        <v>14</v>
      </c>
      <c r="F321" t="s">
        <v>21</v>
      </c>
      <c r="G321" t="s">
        <v>22</v>
      </c>
      <c r="H321" t="s">
        <v>35</v>
      </c>
      <c r="I321">
        <v>920.38</v>
      </c>
      <c r="J321">
        <v>4</v>
      </c>
      <c r="K321">
        <v>0</v>
      </c>
      <c r="L321">
        <v>136.61000000000001</v>
      </c>
    </row>
    <row r="322" spans="1:12" x14ac:dyDescent="0.25">
      <c r="A322" t="s">
        <v>355</v>
      </c>
      <c r="B322" s="1">
        <v>45087</v>
      </c>
      <c r="C322" s="1">
        <v>45088</v>
      </c>
      <c r="D322" t="s">
        <v>13</v>
      </c>
      <c r="E322" t="s">
        <v>37</v>
      </c>
      <c r="F322" t="s">
        <v>32</v>
      </c>
      <c r="G322" t="s">
        <v>16</v>
      </c>
      <c r="H322" t="s">
        <v>33</v>
      </c>
      <c r="I322">
        <v>713.09</v>
      </c>
      <c r="J322">
        <v>9</v>
      </c>
      <c r="K322">
        <v>0.1</v>
      </c>
      <c r="L322">
        <v>33.99</v>
      </c>
    </row>
    <row r="323" spans="1:12" x14ac:dyDescent="0.25">
      <c r="A323" t="s">
        <v>356</v>
      </c>
      <c r="B323" s="1">
        <v>44927</v>
      </c>
      <c r="C323" s="1">
        <v>44934</v>
      </c>
      <c r="D323" t="s">
        <v>19</v>
      </c>
      <c r="E323" t="s">
        <v>20</v>
      </c>
      <c r="F323" t="s">
        <v>32</v>
      </c>
      <c r="G323" t="s">
        <v>22</v>
      </c>
      <c r="H323" t="s">
        <v>40</v>
      </c>
      <c r="I323">
        <v>386.95</v>
      </c>
      <c r="J323">
        <v>1</v>
      </c>
      <c r="K323">
        <v>0</v>
      </c>
      <c r="L323">
        <v>48.38</v>
      </c>
    </row>
    <row r="324" spans="1:12" x14ac:dyDescent="0.25">
      <c r="A324" t="s">
        <v>357</v>
      </c>
      <c r="B324" s="1">
        <v>44952</v>
      </c>
      <c r="C324" s="1">
        <v>44957</v>
      </c>
      <c r="D324" t="s">
        <v>28</v>
      </c>
      <c r="E324" t="s">
        <v>20</v>
      </c>
      <c r="F324" t="s">
        <v>21</v>
      </c>
      <c r="G324" t="s">
        <v>16</v>
      </c>
      <c r="H324" t="s">
        <v>38</v>
      </c>
      <c r="I324">
        <v>741.72</v>
      </c>
      <c r="J324">
        <v>2</v>
      </c>
      <c r="K324">
        <v>0.3</v>
      </c>
      <c r="L324">
        <v>-109.51</v>
      </c>
    </row>
    <row r="325" spans="1:12" x14ac:dyDescent="0.25">
      <c r="A325" t="s">
        <v>358</v>
      </c>
      <c r="B325" s="1">
        <v>44990</v>
      </c>
      <c r="C325" s="1">
        <v>44994</v>
      </c>
      <c r="D325" t="s">
        <v>19</v>
      </c>
      <c r="E325" t="s">
        <v>20</v>
      </c>
      <c r="F325" t="s">
        <v>32</v>
      </c>
      <c r="G325" t="s">
        <v>16</v>
      </c>
      <c r="H325" t="s">
        <v>38</v>
      </c>
      <c r="I325">
        <v>912.47</v>
      </c>
      <c r="J325">
        <v>1</v>
      </c>
      <c r="K325">
        <v>0</v>
      </c>
      <c r="L325">
        <v>79.17</v>
      </c>
    </row>
    <row r="326" spans="1:12" x14ac:dyDescent="0.25">
      <c r="A326" t="s">
        <v>359</v>
      </c>
      <c r="B326" s="1">
        <v>45159</v>
      </c>
      <c r="C326" s="1">
        <v>45162</v>
      </c>
      <c r="D326" t="s">
        <v>19</v>
      </c>
      <c r="E326" t="s">
        <v>20</v>
      </c>
      <c r="F326" t="s">
        <v>15</v>
      </c>
      <c r="G326" t="s">
        <v>16</v>
      </c>
      <c r="H326" t="s">
        <v>33</v>
      </c>
      <c r="I326">
        <v>985.14</v>
      </c>
      <c r="J326">
        <v>9</v>
      </c>
      <c r="K326">
        <v>0.1</v>
      </c>
      <c r="L326">
        <v>-6.96</v>
      </c>
    </row>
    <row r="327" spans="1:12" x14ac:dyDescent="0.25">
      <c r="A327" t="s">
        <v>360</v>
      </c>
      <c r="B327" s="1">
        <v>45261</v>
      </c>
      <c r="C327" s="1">
        <v>45263</v>
      </c>
      <c r="D327" t="s">
        <v>13</v>
      </c>
      <c r="E327" t="s">
        <v>37</v>
      </c>
      <c r="F327" t="s">
        <v>32</v>
      </c>
      <c r="G327" t="s">
        <v>29</v>
      </c>
      <c r="H327" t="s">
        <v>45</v>
      </c>
      <c r="I327">
        <v>840.74</v>
      </c>
      <c r="J327">
        <v>2</v>
      </c>
      <c r="K327">
        <v>0</v>
      </c>
      <c r="L327">
        <v>124.97</v>
      </c>
    </row>
    <row r="328" spans="1:12" x14ac:dyDescent="0.25">
      <c r="A328" t="s">
        <v>361</v>
      </c>
      <c r="B328" s="1">
        <v>45234</v>
      </c>
      <c r="C328" s="1">
        <v>45236</v>
      </c>
      <c r="D328" t="s">
        <v>19</v>
      </c>
      <c r="E328" t="s">
        <v>37</v>
      </c>
      <c r="F328" t="s">
        <v>26</v>
      </c>
      <c r="G328" t="s">
        <v>29</v>
      </c>
      <c r="H328" t="s">
        <v>30</v>
      </c>
      <c r="I328">
        <v>528.46</v>
      </c>
      <c r="J328">
        <v>9</v>
      </c>
      <c r="K328">
        <v>0.3</v>
      </c>
      <c r="L328">
        <v>-83.14</v>
      </c>
    </row>
    <row r="329" spans="1:12" x14ac:dyDescent="0.25">
      <c r="A329" t="s">
        <v>362</v>
      </c>
      <c r="B329" s="1">
        <v>45079</v>
      </c>
      <c r="C329" s="1">
        <v>45086</v>
      </c>
      <c r="D329" t="s">
        <v>19</v>
      </c>
      <c r="E329" t="s">
        <v>14</v>
      </c>
      <c r="F329" t="s">
        <v>26</v>
      </c>
      <c r="G329" t="s">
        <v>29</v>
      </c>
      <c r="H329" t="s">
        <v>43</v>
      </c>
      <c r="I329">
        <v>391.72</v>
      </c>
      <c r="J329">
        <v>7</v>
      </c>
      <c r="K329">
        <v>0</v>
      </c>
      <c r="L329">
        <v>42.64</v>
      </c>
    </row>
    <row r="330" spans="1:12" x14ac:dyDescent="0.25">
      <c r="A330" t="s">
        <v>363</v>
      </c>
      <c r="B330" s="1">
        <v>45287</v>
      </c>
      <c r="C330" s="1">
        <v>45293</v>
      </c>
      <c r="D330" t="s">
        <v>25</v>
      </c>
      <c r="E330" t="s">
        <v>20</v>
      </c>
      <c r="F330" t="s">
        <v>21</v>
      </c>
      <c r="G330" t="s">
        <v>16</v>
      </c>
      <c r="H330" t="s">
        <v>17</v>
      </c>
      <c r="I330">
        <v>806.8</v>
      </c>
      <c r="J330">
        <v>2</v>
      </c>
      <c r="K330">
        <v>0</v>
      </c>
      <c r="L330">
        <v>102.94</v>
      </c>
    </row>
    <row r="331" spans="1:12" x14ac:dyDescent="0.25">
      <c r="A331" t="s">
        <v>364</v>
      </c>
      <c r="B331" s="1">
        <v>45085</v>
      </c>
      <c r="C331" s="1">
        <v>45088</v>
      </c>
      <c r="D331" t="s">
        <v>19</v>
      </c>
      <c r="E331" t="s">
        <v>14</v>
      </c>
      <c r="F331" t="s">
        <v>15</v>
      </c>
      <c r="G331" t="s">
        <v>16</v>
      </c>
      <c r="H331" t="s">
        <v>33</v>
      </c>
      <c r="I331">
        <v>131.97999999999999</v>
      </c>
      <c r="J331">
        <v>3</v>
      </c>
      <c r="K331">
        <v>0.3</v>
      </c>
      <c r="L331">
        <v>-8.7799999999999994</v>
      </c>
    </row>
    <row r="332" spans="1:12" x14ac:dyDescent="0.25">
      <c r="A332" t="s">
        <v>365</v>
      </c>
      <c r="B332" s="1">
        <v>44968</v>
      </c>
      <c r="C332" s="1">
        <v>44975</v>
      </c>
      <c r="D332" t="s">
        <v>19</v>
      </c>
      <c r="E332" t="s">
        <v>37</v>
      </c>
      <c r="F332" t="s">
        <v>26</v>
      </c>
      <c r="G332" t="s">
        <v>16</v>
      </c>
      <c r="H332" t="s">
        <v>33</v>
      </c>
      <c r="I332">
        <v>921.46</v>
      </c>
      <c r="J332">
        <v>1</v>
      </c>
      <c r="K332">
        <v>0.1</v>
      </c>
      <c r="L332">
        <v>12.6</v>
      </c>
    </row>
    <row r="333" spans="1:12" x14ac:dyDescent="0.25">
      <c r="A333" t="s">
        <v>366</v>
      </c>
      <c r="B333" s="1">
        <v>45291</v>
      </c>
      <c r="C333" s="1">
        <v>45293</v>
      </c>
      <c r="D333" t="s">
        <v>25</v>
      </c>
      <c r="E333" t="s">
        <v>37</v>
      </c>
      <c r="F333" t="s">
        <v>15</v>
      </c>
      <c r="G333" t="s">
        <v>16</v>
      </c>
      <c r="H333" t="s">
        <v>38</v>
      </c>
      <c r="I333">
        <v>491.22</v>
      </c>
      <c r="J333">
        <v>4</v>
      </c>
      <c r="K333">
        <v>0.2</v>
      </c>
      <c r="L333">
        <v>-37.47</v>
      </c>
    </row>
    <row r="334" spans="1:12" x14ac:dyDescent="0.25">
      <c r="A334" t="s">
        <v>367</v>
      </c>
      <c r="B334" s="1">
        <v>45053</v>
      </c>
      <c r="C334" s="1">
        <v>45060</v>
      </c>
      <c r="D334" t="s">
        <v>19</v>
      </c>
      <c r="E334" t="s">
        <v>37</v>
      </c>
      <c r="F334" t="s">
        <v>26</v>
      </c>
      <c r="G334" t="s">
        <v>16</v>
      </c>
      <c r="H334" t="s">
        <v>33</v>
      </c>
      <c r="I334">
        <v>240.11</v>
      </c>
      <c r="J334">
        <v>5</v>
      </c>
      <c r="K334">
        <v>0.3</v>
      </c>
      <c r="L334">
        <v>-4.13</v>
      </c>
    </row>
    <row r="335" spans="1:12" x14ac:dyDescent="0.25">
      <c r="A335" t="s">
        <v>368</v>
      </c>
      <c r="B335" s="1">
        <v>44942</v>
      </c>
      <c r="C335" s="1">
        <v>44944</v>
      </c>
      <c r="D335" t="s">
        <v>25</v>
      </c>
      <c r="E335" t="s">
        <v>14</v>
      </c>
      <c r="F335" t="s">
        <v>32</v>
      </c>
      <c r="G335" t="s">
        <v>22</v>
      </c>
      <c r="H335" t="s">
        <v>23</v>
      </c>
      <c r="I335">
        <v>263.26</v>
      </c>
      <c r="J335">
        <v>4</v>
      </c>
      <c r="K335">
        <v>0</v>
      </c>
      <c r="L335">
        <v>41.21</v>
      </c>
    </row>
    <row r="336" spans="1:12" x14ac:dyDescent="0.25">
      <c r="A336" t="s">
        <v>369</v>
      </c>
      <c r="B336" s="1">
        <v>45248</v>
      </c>
      <c r="C336" s="1">
        <v>45255</v>
      </c>
      <c r="D336" t="s">
        <v>19</v>
      </c>
      <c r="E336" t="s">
        <v>37</v>
      </c>
      <c r="F336" t="s">
        <v>32</v>
      </c>
      <c r="G336" t="s">
        <v>22</v>
      </c>
      <c r="H336" t="s">
        <v>35</v>
      </c>
      <c r="I336">
        <v>430.55</v>
      </c>
      <c r="J336">
        <v>4</v>
      </c>
      <c r="K336">
        <v>0.3</v>
      </c>
      <c r="L336">
        <v>-84.31</v>
      </c>
    </row>
    <row r="337" spans="1:12" x14ac:dyDescent="0.25">
      <c r="A337" t="s">
        <v>370</v>
      </c>
      <c r="B337" s="1">
        <v>44976</v>
      </c>
      <c r="C337" s="1">
        <v>44977</v>
      </c>
      <c r="D337" t="s">
        <v>25</v>
      </c>
      <c r="E337" t="s">
        <v>14</v>
      </c>
      <c r="F337" t="s">
        <v>21</v>
      </c>
      <c r="G337" t="s">
        <v>22</v>
      </c>
      <c r="H337" t="s">
        <v>40</v>
      </c>
      <c r="I337">
        <v>784.89</v>
      </c>
      <c r="J337">
        <v>7</v>
      </c>
      <c r="K337">
        <v>0.2</v>
      </c>
      <c r="L337">
        <v>-54.23</v>
      </c>
    </row>
    <row r="338" spans="1:12" x14ac:dyDescent="0.25">
      <c r="A338" t="s">
        <v>371</v>
      </c>
      <c r="B338" s="1">
        <v>44973</v>
      </c>
      <c r="C338" s="1">
        <v>44977</v>
      </c>
      <c r="D338" t="s">
        <v>25</v>
      </c>
      <c r="E338" t="s">
        <v>14</v>
      </c>
      <c r="F338" t="s">
        <v>15</v>
      </c>
      <c r="G338" t="s">
        <v>22</v>
      </c>
      <c r="H338" t="s">
        <v>23</v>
      </c>
      <c r="I338">
        <v>32.83</v>
      </c>
      <c r="J338">
        <v>8</v>
      </c>
      <c r="K338">
        <v>0</v>
      </c>
      <c r="L338">
        <v>19.350000000000001</v>
      </c>
    </row>
    <row r="339" spans="1:12" x14ac:dyDescent="0.25">
      <c r="A339" t="s">
        <v>372</v>
      </c>
      <c r="B339" s="1">
        <v>45046</v>
      </c>
      <c r="C339" s="1">
        <v>45052</v>
      </c>
      <c r="D339" t="s">
        <v>13</v>
      </c>
      <c r="E339" t="s">
        <v>20</v>
      </c>
      <c r="F339" t="s">
        <v>21</v>
      </c>
      <c r="G339" t="s">
        <v>16</v>
      </c>
      <c r="H339" t="s">
        <v>17</v>
      </c>
      <c r="I339">
        <v>976.03</v>
      </c>
      <c r="J339">
        <v>4</v>
      </c>
      <c r="K339">
        <v>0</v>
      </c>
      <c r="L339">
        <v>88.01</v>
      </c>
    </row>
    <row r="340" spans="1:12" x14ac:dyDescent="0.25">
      <c r="A340" t="s">
        <v>373</v>
      </c>
      <c r="B340" s="1">
        <v>45168</v>
      </c>
      <c r="C340" s="1">
        <v>45174</v>
      </c>
      <c r="D340" t="s">
        <v>13</v>
      </c>
      <c r="E340" t="s">
        <v>37</v>
      </c>
      <c r="F340" t="s">
        <v>21</v>
      </c>
      <c r="G340" t="s">
        <v>16</v>
      </c>
      <c r="H340" t="s">
        <v>17</v>
      </c>
      <c r="I340">
        <v>426.33</v>
      </c>
      <c r="J340">
        <v>9</v>
      </c>
      <c r="K340">
        <v>0.3</v>
      </c>
      <c r="L340">
        <v>-67.81</v>
      </c>
    </row>
    <row r="341" spans="1:12" x14ac:dyDescent="0.25">
      <c r="A341" t="s">
        <v>374</v>
      </c>
      <c r="B341" s="1">
        <v>45228</v>
      </c>
      <c r="C341" s="1">
        <v>45229</v>
      </c>
      <c r="D341" t="s">
        <v>19</v>
      </c>
      <c r="E341" t="s">
        <v>14</v>
      </c>
      <c r="F341" t="s">
        <v>15</v>
      </c>
      <c r="G341" t="s">
        <v>29</v>
      </c>
      <c r="H341" t="s">
        <v>30</v>
      </c>
      <c r="I341">
        <v>200.77</v>
      </c>
      <c r="J341">
        <v>2</v>
      </c>
      <c r="K341">
        <v>0.2</v>
      </c>
      <c r="L341">
        <v>1.6</v>
      </c>
    </row>
    <row r="342" spans="1:12" x14ac:dyDescent="0.25">
      <c r="A342" t="s">
        <v>375</v>
      </c>
      <c r="B342" s="1">
        <v>45158</v>
      </c>
      <c r="C342" s="1">
        <v>45161</v>
      </c>
      <c r="D342" t="s">
        <v>13</v>
      </c>
      <c r="E342" t="s">
        <v>14</v>
      </c>
      <c r="F342" t="s">
        <v>26</v>
      </c>
      <c r="G342" t="s">
        <v>16</v>
      </c>
      <c r="H342" t="s">
        <v>17</v>
      </c>
      <c r="I342">
        <v>85.73</v>
      </c>
      <c r="J342">
        <v>5</v>
      </c>
      <c r="K342">
        <v>0.2</v>
      </c>
      <c r="L342">
        <v>1.3</v>
      </c>
    </row>
    <row r="343" spans="1:12" x14ac:dyDescent="0.25">
      <c r="A343" t="s">
        <v>376</v>
      </c>
      <c r="B343" s="1">
        <v>45050</v>
      </c>
      <c r="C343" s="1">
        <v>45057</v>
      </c>
      <c r="D343" t="s">
        <v>19</v>
      </c>
      <c r="E343" t="s">
        <v>37</v>
      </c>
      <c r="F343" t="s">
        <v>26</v>
      </c>
      <c r="G343" t="s">
        <v>22</v>
      </c>
      <c r="H343" t="s">
        <v>23</v>
      </c>
      <c r="I343">
        <v>803.79</v>
      </c>
      <c r="J343">
        <v>10</v>
      </c>
      <c r="K343">
        <v>0.1</v>
      </c>
      <c r="L343">
        <v>-5.64</v>
      </c>
    </row>
    <row r="344" spans="1:12" x14ac:dyDescent="0.25">
      <c r="A344" t="s">
        <v>377</v>
      </c>
      <c r="B344" s="1">
        <v>45190</v>
      </c>
      <c r="C344" s="1">
        <v>45194</v>
      </c>
      <c r="D344" t="s">
        <v>19</v>
      </c>
      <c r="E344" t="s">
        <v>14</v>
      </c>
      <c r="F344" t="s">
        <v>21</v>
      </c>
      <c r="G344" t="s">
        <v>16</v>
      </c>
      <c r="H344" t="s">
        <v>38</v>
      </c>
      <c r="I344">
        <v>206.87</v>
      </c>
      <c r="J344">
        <v>5</v>
      </c>
      <c r="K344">
        <v>0</v>
      </c>
      <c r="L344">
        <v>27.13</v>
      </c>
    </row>
    <row r="345" spans="1:12" x14ac:dyDescent="0.25">
      <c r="A345" t="s">
        <v>378</v>
      </c>
      <c r="B345" s="1">
        <v>45140</v>
      </c>
      <c r="C345" s="1">
        <v>45143</v>
      </c>
      <c r="D345" t="s">
        <v>13</v>
      </c>
      <c r="E345" t="s">
        <v>20</v>
      </c>
      <c r="F345" t="s">
        <v>26</v>
      </c>
      <c r="G345" t="s">
        <v>16</v>
      </c>
      <c r="H345" t="s">
        <v>33</v>
      </c>
      <c r="I345">
        <v>839.83</v>
      </c>
      <c r="J345">
        <v>3</v>
      </c>
      <c r="K345">
        <v>0.2</v>
      </c>
      <c r="L345">
        <v>-99.38</v>
      </c>
    </row>
    <row r="346" spans="1:12" x14ac:dyDescent="0.25">
      <c r="A346" t="s">
        <v>379</v>
      </c>
      <c r="B346" s="1">
        <v>45106</v>
      </c>
      <c r="C346" s="1">
        <v>45107</v>
      </c>
      <c r="D346" t="s">
        <v>19</v>
      </c>
      <c r="E346" t="s">
        <v>14</v>
      </c>
      <c r="F346" t="s">
        <v>15</v>
      </c>
      <c r="G346" t="s">
        <v>22</v>
      </c>
      <c r="H346" t="s">
        <v>35</v>
      </c>
      <c r="I346">
        <v>780.02</v>
      </c>
      <c r="J346">
        <v>10</v>
      </c>
      <c r="K346">
        <v>0.2</v>
      </c>
      <c r="L346">
        <v>-61.07</v>
      </c>
    </row>
    <row r="347" spans="1:12" x14ac:dyDescent="0.25">
      <c r="A347" t="s">
        <v>380</v>
      </c>
      <c r="B347" s="1">
        <v>45068</v>
      </c>
      <c r="C347" s="1">
        <v>45074</v>
      </c>
      <c r="D347" t="s">
        <v>19</v>
      </c>
      <c r="E347" t="s">
        <v>20</v>
      </c>
      <c r="F347" t="s">
        <v>26</v>
      </c>
      <c r="G347" t="s">
        <v>29</v>
      </c>
      <c r="H347" t="s">
        <v>45</v>
      </c>
      <c r="I347">
        <v>543.77</v>
      </c>
      <c r="J347">
        <v>10</v>
      </c>
      <c r="K347">
        <v>0</v>
      </c>
      <c r="L347">
        <v>62.43</v>
      </c>
    </row>
    <row r="348" spans="1:12" x14ac:dyDescent="0.25">
      <c r="A348" t="s">
        <v>381</v>
      </c>
      <c r="B348" s="1">
        <v>44951</v>
      </c>
      <c r="C348" s="1">
        <v>44952</v>
      </c>
      <c r="D348" t="s">
        <v>28</v>
      </c>
      <c r="E348" t="s">
        <v>20</v>
      </c>
      <c r="F348" t="s">
        <v>32</v>
      </c>
      <c r="G348" t="s">
        <v>16</v>
      </c>
      <c r="H348" t="s">
        <v>33</v>
      </c>
      <c r="I348">
        <v>568.45000000000005</v>
      </c>
      <c r="J348">
        <v>8</v>
      </c>
      <c r="K348">
        <v>0.2</v>
      </c>
      <c r="L348">
        <v>-69.64</v>
      </c>
    </row>
    <row r="349" spans="1:12" x14ac:dyDescent="0.25">
      <c r="A349" t="s">
        <v>382</v>
      </c>
      <c r="B349" s="1">
        <v>44944</v>
      </c>
      <c r="C349" s="1">
        <v>44951</v>
      </c>
      <c r="D349" t="s">
        <v>13</v>
      </c>
      <c r="E349" t="s">
        <v>37</v>
      </c>
      <c r="F349" t="s">
        <v>15</v>
      </c>
      <c r="G349" t="s">
        <v>29</v>
      </c>
      <c r="H349" t="s">
        <v>43</v>
      </c>
      <c r="I349">
        <v>347.68</v>
      </c>
      <c r="J349">
        <v>4</v>
      </c>
      <c r="K349">
        <v>0.2</v>
      </c>
      <c r="L349">
        <v>11.46</v>
      </c>
    </row>
    <row r="350" spans="1:12" x14ac:dyDescent="0.25">
      <c r="A350" t="s">
        <v>383</v>
      </c>
      <c r="B350" s="1">
        <v>44972</v>
      </c>
      <c r="C350" s="1">
        <v>44977</v>
      </c>
      <c r="D350" t="s">
        <v>25</v>
      </c>
      <c r="E350" t="s">
        <v>14</v>
      </c>
      <c r="F350" t="s">
        <v>32</v>
      </c>
      <c r="G350" t="s">
        <v>22</v>
      </c>
      <c r="H350" t="s">
        <v>40</v>
      </c>
      <c r="I350">
        <v>385.84</v>
      </c>
      <c r="J350">
        <v>1</v>
      </c>
      <c r="K350">
        <v>0.1</v>
      </c>
      <c r="L350">
        <v>42.82</v>
      </c>
    </row>
    <row r="351" spans="1:12" x14ac:dyDescent="0.25">
      <c r="A351" t="s">
        <v>384</v>
      </c>
      <c r="B351" s="1">
        <v>45240</v>
      </c>
      <c r="C351" s="1">
        <v>45244</v>
      </c>
      <c r="D351" t="s">
        <v>19</v>
      </c>
      <c r="E351" t="s">
        <v>37</v>
      </c>
      <c r="F351" t="s">
        <v>32</v>
      </c>
      <c r="G351" t="s">
        <v>22</v>
      </c>
      <c r="H351" t="s">
        <v>23</v>
      </c>
      <c r="I351">
        <v>536.04999999999995</v>
      </c>
      <c r="J351">
        <v>8</v>
      </c>
      <c r="K351">
        <v>0</v>
      </c>
      <c r="L351">
        <v>35.380000000000003</v>
      </c>
    </row>
    <row r="352" spans="1:12" x14ac:dyDescent="0.25">
      <c r="A352" t="s">
        <v>385</v>
      </c>
      <c r="B352" s="1">
        <v>45159</v>
      </c>
      <c r="C352" s="1">
        <v>45165</v>
      </c>
      <c r="D352" t="s">
        <v>28</v>
      </c>
      <c r="E352" t="s">
        <v>37</v>
      </c>
      <c r="F352" t="s">
        <v>21</v>
      </c>
      <c r="G352" t="s">
        <v>22</v>
      </c>
      <c r="H352" t="s">
        <v>35</v>
      </c>
      <c r="I352">
        <v>173.03</v>
      </c>
      <c r="J352">
        <v>5</v>
      </c>
      <c r="K352">
        <v>0.1</v>
      </c>
      <c r="L352">
        <v>40.69</v>
      </c>
    </row>
    <row r="353" spans="1:12" x14ac:dyDescent="0.25">
      <c r="A353" t="s">
        <v>386</v>
      </c>
      <c r="B353" s="1">
        <v>45041</v>
      </c>
      <c r="C353" s="1">
        <v>45048</v>
      </c>
      <c r="D353" t="s">
        <v>13</v>
      </c>
      <c r="E353" t="s">
        <v>37</v>
      </c>
      <c r="F353" t="s">
        <v>21</v>
      </c>
      <c r="G353" t="s">
        <v>22</v>
      </c>
      <c r="H353" t="s">
        <v>40</v>
      </c>
      <c r="I353">
        <v>419.82</v>
      </c>
      <c r="J353">
        <v>5</v>
      </c>
      <c r="K353">
        <v>0</v>
      </c>
      <c r="L353">
        <v>37.520000000000003</v>
      </c>
    </row>
    <row r="354" spans="1:12" x14ac:dyDescent="0.25">
      <c r="A354" t="s">
        <v>387</v>
      </c>
      <c r="B354" s="1">
        <v>45152</v>
      </c>
      <c r="C354" s="1">
        <v>45153</v>
      </c>
      <c r="D354" t="s">
        <v>28</v>
      </c>
      <c r="E354" t="s">
        <v>14</v>
      </c>
      <c r="F354" t="s">
        <v>21</v>
      </c>
      <c r="G354" t="s">
        <v>29</v>
      </c>
      <c r="H354" t="s">
        <v>43</v>
      </c>
      <c r="I354">
        <v>246.45</v>
      </c>
      <c r="J354">
        <v>5</v>
      </c>
      <c r="K354">
        <v>0.2</v>
      </c>
      <c r="L354">
        <v>-9.26</v>
      </c>
    </row>
    <row r="355" spans="1:12" x14ac:dyDescent="0.25">
      <c r="A355" t="s">
        <v>388</v>
      </c>
      <c r="B355" s="1">
        <v>45253</v>
      </c>
      <c r="C355" s="1">
        <v>45255</v>
      </c>
      <c r="D355" t="s">
        <v>19</v>
      </c>
      <c r="E355" t="s">
        <v>37</v>
      </c>
      <c r="F355" t="s">
        <v>26</v>
      </c>
      <c r="G355" t="s">
        <v>29</v>
      </c>
      <c r="H355" t="s">
        <v>43</v>
      </c>
      <c r="I355">
        <v>603.15</v>
      </c>
      <c r="J355">
        <v>5</v>
      </c>
      <c r="K355">
        <v>0</v>
      </c>
      <c r="L355">
        <v>96.31</v>
      </c>
    </row>
    <row r="356" spans="1:12" x14ac:dyDescent="0.25">
      <c r="A356" t="s">
        <v>389</v>
      </c>
      <c r="B356" s="1">
        <v>45036</v>
      </c>
      <c r="C356" s="1">
        <v>45041</v>
      </c>
      <c r="D356" t="s">
        <v>13</v>
      </c>
      <c r="E356" t="s">
        <v>20</v>
      </c>
      <c r="F356" t="s">
        <v>26</v>
      </c>
      <c r="G356" t="s">
        <v>29</v>
      </c>
      <c r="H356" t="s">
        <v>45</v>
      </c>
      <c r="I356">
        <v>194.97</v>
      </c>
      <c r="J356">
        <v>10</v>
      </c>
      <c r="K356">
        <v>0</v>
      </c>
      <c r="L356">
        <v>38.47</v>
      </c>
    </row>
    <row r="357" spans="1:12" x14ac:dyDescent="0.25">
      <c r="A357" t="s">
        <v>390</v>
      </c>
      <c r="B357" s="1">
        <v>45258</v>
      </c>
      <c r="C357" s="1">
        <v>45263</v>
      </c>
      <c r="D357" t="s">
        <v>25</v>
      </c>
      <c r="E357" t="s">
        <v>20</v>
      </c>
      <c r="F357" t="s">
        <v>32</v>
      </c>
      <c r="G357" t="s">
        <v>16</v>
      </c>
      <c r="H357" t="s">
        <v>17</v>
      </c>
      <c r="I357">
        <v>726.4</v>
      </c>
      <c r="J357">
        <v>7</v>
      </c>
      <c r="K357">
        <v>0.2</v>
      </c>
      <c r="L357">
        <v>-75.62</v>
      </c>
    </row>
    <row r="358" spans="1:12" x14ac:dyDescent="0.25">
      <c r="A358" t="s">
        <v>391</v>
      </c>
      <c r="B358" s="1">
        <v>45037</v>
      </c>
      <c r="C358" s="1">
        <v>45039</v>
      </c>
      <c r="D358" t="s">
        <v>25</v>
      </c>
      <c r="E358" t="s">
        <v>37</v>
      </c>
      <c r="F358" t="s">
        <v>21</v>
      </c>
      <c r="G358" t="s">
        <v>29</v>
      </c>
      <c r="H358" t="s">
        <v>43</v>
      </c>
      <c r="I358">
        <v>727.82</v>
      </c>
      <c r="J358">
        <v>5</v>
      </c>
      <c r="K358">
        <v>0.3</v>
      </c>
      <c r="L358">
        <v>-109.08</v>
      </c>
    </row>
    <row r="359" spans="1:12" x14ac:dyDescent="0.25">
      <c r="A359" t="s">
        <v>392</v>
      </c>
      <c r="B359" s="1">
        <v>44971</v>
      </c>
      <c r="C359" s="1">
        <v>44978</v>
      </c>
      <c r="D359" t="s">
        <v>28</v>
      </c>
      <c r="E359" t="s">
        <v>14</v>
      </c>
      <c r="F359" t="s">
        <v>15</v>
      </c>
      <c r="G359" t="s">
        <v>29</v>
      </c>
      <c r="H359" t="s">
        <v>45</v>
      </c>
      <c r="I359">
        <v>963.4</v>
      </c>
      <c r="J359">
        <v>6</v>
      </c>
      <c r="K359">
        <v>0.3</v>
      </c>
      <c r="L359">
        <v>-165.91</v>
      </c>
    </row>
    <row r="360" spans="1:12" x14ac:dyDescent="0.25">
      <c r="A360" t="s">
        <v>393</v>
      </c>
      <c r="B360" s="1">
        <v>45008</v>
      </c>
      <c r="C360" s="1">
        <v>45011</v>
      </c>
      <c r="D360" t="s">
        <v>25</v>
      </c>
      <c r="E360" t="s">
        <v>20</v>
      </c>
      <c r="F360" t="s">
        <v>26</v>
      </c>
      <c r="G360" t="s">
        <v>22</v>
      </c>
      <c r="H360" t="s">
        <v>40</v>
      </c>
      <c r="I360">
        <v>220.88</v>
      </c>
      <c r="J360">
        <v>4</v>
      </c>
      <c r="K360">
        <v>0.2</v>
      </c>
      <c r="L360">
        <v>-19.41</v>
      </c>
    </row>
    <row r="361" spans="1:12" x14ac:dyDescent="0.25">
      <c r="A361" t="s">
        <v>394</v>
      </c>
      <c r="B361" s="1">
        <v>44934</v>
      </c>
      <c r="C361" s="1">
        <v>44935</v>
      </c>
      <c r="D361" t="s">
        <v>28</v>
      </c>
      <c r="E361" t="s">
        <v>14</v>
      </c>
      <c r="F361" t="s">
        <v>26</v>
      </c>
      <c r="G361" t="s">
        <v>29</v>
      </c>
      <c r="H361" t="s">
        <v>43</v>
      </c>
      <c r="I361">
        <v>105.19</v>
      </c>
      <c r="J361">
        <v>1</v>
      </c>
      <c r="K361">
        <v>0.1</v>
      </c>
      <c r="L361">
        <v>-14.01</v>
      </c>
    </row>
    <row r="362" spans="1:12" x14ac:dyDescent="0.25">
      <c r="A362" t="s">
        <v>395</v>
      </c>
      <c r="B362" s="1">
        <v>45276</v>
      </c>
      <c r="C362" s="1">
        <v>45278</v>
      </c>
      <c r="D362" t="s">
        <v>19</v>
      </c>
      <c r="E362" t="s">
        <v>20</v>
      </c>
      <c r="F362" t="s">
        <v>26</v>
      </c>
      <c r="G362" t="s">
        <v>22</v>
      </c>
      <c r="H362" t="s">
        <v>35</v>
      </c>
      <c r="I362">
        <v>223.73</v>
      </c>
      <c r="J362">
        <v>8</v>
      </c>
      <c r="K362">
        <v>0.2</v>
      </c>
      <c r="L362">
        <v>-33.78</v>
      </c>
    </row>
    <row r="363" spans="1:12" x14ac:dyDescent="0.25">
      <c r="A363" t="s">
        <v>396</v>
      </c>
      <c r="B363" s="1">
        <v>45228</v>
      </c>
      <c r="C363" s="1">
        <v>45232</v>
      </c>
      <c r="D363" t="s">
        <v>19</v>
      </c>
      <c r="E363" t="s">
        <v>14</v>
      </c>
      <c r="F363" t="s">
        <v>15</v>
      </c>
      <c r="G363" t="s">
        <v>29</v>
      </c>
      <c r="H363" t="s">
        <v>43</v>
      </c>
      <c r="I363">
        <v>878.92</v>
      </c>
      <c r="J363">
        <v>8</v>
      </c>
      <c r="K363">
        <v>0</v>
      </c>
      <c r="L363">
        <v>97.39</v>
      </c>
    </row>
    <row r="364" spans="1:12" x14ac:dyDescent="0.25">
      <c r="A364" t="s">
        <v>397</v>
      </c>
      <c r="B364" s="1">
        <v>45136</v>
      </c>
      <c r="C364" s="1">
        <v>45137</v>
      </c>
      <c r="D364" t="s">
        <v>28</v>
      </c>
      <c r="E364" t="s">
        <v>14</v>
      </c>
      <c r="F364" t="s">
        <v>32</v>
      </c>
      <c r="G364" t="s">
        <v>16</v>
      </c>
      <c r="H364" t="s">
        <v>38</v>
      </c>
      <c r="I364">
        <v>894.82</v>
      </c>
      <c r="J364">
        <v>1</v>
      </c>
      <c r="K364">
        <v>0.2</v>
      </c>
      <c r="L364">
        <v>-65.75</v>
      </c>
    </row>
    <row r="365" spans="1:12" x14ac:dyDescent="0.25">
      <c r="A365" t="s">
        <v>398</v>
      </c>
      <c r="B365" s="1">
        <v>45092</v>
      </c>
      <c r="C365" s="1">
        <v>45096</v>
      </c>
      <c r="D365" t="s">
        <v>25</v>
      </c>
      <c r="E365" t="s">
        <v>20</v>
      </c>
      <c r="F365" t="s">
        <v>32</v>
      </c>
      <c r="G365" t="s">
        <v>22</v>
      </c>
      <c r="H365" t="s">
        <v>35</v>
      </c>
      <c r="I365">
        <v>349.15</v>
      </c>
      <c r="J365">
        <v>8</v>
      </c>
      <c r="K365">
        <v>0.2</v>
      </c>
      <c r="L365">
        <v>-28.34</v>
      </c>
    </row>
    <row r="366" spans="1:12" x14ac:dyDescent="0.25">
      <c r="A366" t="s">
        <v>399</v>
      </c>
      <c r="B366" s="1">
        <v>45188</v>
      </c>
      <c r="C366" s="1">
        <v>45192</v>
      </c>
      <c r="D366" t="s">
        <v>28</v>
      </c>
      <c r="E366" t="s">
        <v>37</v>
      </c>
      <c r="F366" t="s">
        <v>26</v>
      </c>
      <c r="G366" t="s">
        <v>29</v>
      </c>
      <c r="H366" t="s">
        <v>43</v>
      </c>
      <c r="I366">
        <v>598.49</v>
      </c>
      <c r="J366">
        <v>2</v>
      </c>
      <c r="K366">
        <v>0.3</v>
      </c>
      <c r="L366">
        <v>-81.55</v>
      </c>
    </row>
    <row r="367" spans="1:12" x14ac:dyDescent="0.25">
      <c r="A367" t="s">
        <v>400</v>
      </c>
      <c r="B367" s="1">
        <v>45245</v>
      </c>
      <c r="C367" s="1">
        <v>45247</v>
      </c>
      <c r="D367" t="s">
        <v>28</v>
      </c>
      <c r="E367" t="s">
        <v>20</v>
      </c>
      <c r="F367" t="s">
        <v>26</v>
      </c>
      <c r="G367" t="s">
        <v>29</v>
      </c>
      <c r="H367" t="s">
        <v>43</v>
      </c>
      <c r="I367">
        <v>358.29</v>
      </c>
      <c r="J367">
        <v>8</v>
      </c>
      <c r="K367">
        <v>0.3</v>
      </c>
      <c r="L367">
        <v>-53.01</v>
      </c>
    </row>
    <row r="368" spans="1:12" x14ac:dyDescent="0.25">
      <c r="A368" t="s">
        <v>401</v>
      </c>
      <c r="B368" s="1">
        <v>45181</v>
      </c>
      <c r="C368" s="1">
        <v>45184</v>
      </c>
      <c r="D368" t="s">
        <v>19</v>
      </c>
      <c r="E368" t="s">
        <v>20</v>
      </c>
      <c r="F368" t="s">
        <v>32</v>
      </c>
      <c r="G368" t="s">
        <v>22</v>
      </c>
      <c r="H368" t="s">
        <v>40</v>
      </c>
      <c r="I368">
        <v>447.4</v>
      </c>
      <c r="J368">
        <v>9</v>
      </c>
      <c r="K368">
        <v>0.3</v>
      </c>
      <c r="L368">
        <v>-94.11</v>
      </c>
    </row>
    <row r="369" spans="1:12" x14ac:dyDescent="0.25">
      <c r="A369" t="s">
        <v>402</v>
      </c>
      <c r="B369" s="1">
        <v>45013</v>
      </c>
      <c r="C369" s="1">
        <v>45016</v>
      </c>
      <c r="D369" t="s">
        <v>13</v>
      </c>
      <c r="E369" t="s">
        <v>20</v>
      </c>
      <c r="F369" t="s">
        <v>32</v>
      </c>
      <c r="G369" t="s">
        <v>16</v>
      </c>
      <c r="H369" t="s">
        <v>33</v>
      </c>
      <c r="I369">
        <v>975.06</v>
      </c>
      <c r="J369">
        <v>8</v>
      </c>
      <c r="K369">
        <v>0.3</v>
      </c>
      <c r="L369">
        <v>-205.2</v>
      </c>
    </row>
    <row r="370" spans="1:12" x14ac:dyDescent="0.25">
      <c r="A370" t="s">
        <v>403</v>
      </c>
      <c r="B370" s="1">
        <v>45287</v>
      </c>
      <c r="C370" s="1">
        <v>45292</v>
      </c>
      <c r="D370" t="s">
        <v>13</v>
      </c>
      <c r="E370" t="s">
        <v>37</v>
      </c>
      <c r="F370" t="s">
        <v>32</v>
      </c>
      <c r="G370" t="s">
        <v>29</v>
      </c>
      <c r="H370" t="s">
        <v>43</v>
      </c>
      <c r="I370">
        <v>871.1</v>
      </c>
      <c r="J370">
        <v>2</v>
      </c>
      <c r="K370">
        <v>0.3</v>
      </c>
      <c r="L370">
        <v>-125.24</v>
      </c>
    </row>
    <row r="371" spans="1:12" x14ac:dyDescent="0.25">
      <c r="A371" t="s">
        <v>404</v>
      </c>
      <c r="B371" s="1">
        <v>45280</v>
      </c>
      <c r="C371" s="1">
        <v>45286</v>
      </c>
      <c r="D371" t="s">
        <v>28</v>
      </c>
      <c r="E371" t="s">
        <v>20</v>
      </c>
      <c r="F371" t="s">
        <v>15</v>
      </c>
      <c r="G371" t="s">
        <v>29</v>
      </c>
      <c r="H371" t="s">
        <v>43</v>
      </c>
      <c r="I371">
        <v>481.64</v>
      </c>
      <c r="J371">
        <v>6</v>
      </c>
      <c r="K371">
        <v>0.3</v>
      </c>
      <c r="L371">
        <v>-86.56</v>
      </c>
    </row>
    <row r="372" spans="1:12" x14ac:dyDescent="0.25">
      <c r="A372" t="s">
        <v>405</v>
      </c>
      <c r="B372" s="1">
        <v>45258</v>
      </c>
      <c r="C372" s="1">
        <v>45265</v>
      </c>
      <c r="D372" t="s">
        <v>28</v>
      </c>
      <c r="E372" t="s">
        <v>14</v>
      </c>
      <c r="F372" t="s">
        <v>15</v>
      </c>
      <c r="G372" t="s">
        <v>22</v>
      </c>
      <c r="H372" t="s">
        <v>40</v>
      </c>
      <c r="I372">
        <v>42.02</v>
      </c>
      <c r="J372">
        <v>5</v>
      </c>
      <c r="K372">
        <v>0.1</v>
      </c>
      <c r="L372">
        <v>31.92</v>
      </c>
    </row>
    <row r="373" spans="1:12" x14ac:dyDescent="0.25">
      <c r="A373" t="s">
        <v>406</v>
      </c>
      <c r="B373" s="1">
        <v>45155</v>
      </c>
      <c r="C373" s="1">
        <v>45157</v>
      </c>
      <c r="D373" t="s">
        <v>13</v>
      </c>
      <c r="E373" t="s">
        <v>14</v>
      </c>
      <c r="F373" t="s">
        <v>21</v>
      </c>
      <c r="G373" t="s">
        <v>22</v>
      </c>
      <c r="H373" t="s">
        <v>35</v>
      </c>
      <c r="I373">
        <v>704.87</v>
      </c>
      <c r="J373">
        <v>3</v>
      </c>
      <c r="K373">
        <v>0</v>
      </c>
      <c r="L373">
        <v>68.540000000000006</v>
      </c>
    </row>
    <row r="374" spans="1:12" x14ac:dyDescent="0.25">
      <c r="A374" t="s">
        <v>407</v>
      </c>
      <c r="B374" s="1">
        <v>45069</v>
      </c>
      <c r="C374" s="1">
        <v>45075</v>
      </c>
      <c r="D374" t="s">
        <v>13</v>
      </c>
      <c r="E374" t="s">
        <v>20</v>
      </c>
      <c r="F374" t="s">
        <v>32</v>
      </c>
      <c r="G374" t="s">
        <v>22</v>
      </c>
      <c r="H374" t="s">
        <v>35</v>
      </c>
      <c r="I374">
        <v>156.57</v>
      </c>
      <c r="J374">
        <v>9</v>
      </c>
      <c r="K374">
        <v>0.2</v>
      </c>
      <c r="L374">
        <v>-6.14</v>
      </c>
    </row>
    <row r="375" spans="1:12" x14ac:dyDescent="0.25">
      <c r="A375" t="s">
        <v>408</v>
      </c>
      <c r="B375" s="1">
        <v>45094</v>
      </c>
      <c r="C375" s="1">
        <v>45096</v>
      </c>
      <c r="D375" t="s">
        <v>13</v>
      </c>
      <c r="E375" t="s">
        <v>14</v>
      </c>
      <c r="F375" t="s">
        <v>15</v>
      </c>
      <c r="G375" t="s">
        <v>29</v>
      </c>
      <c r="H375" t="s">
        <v>43</v>
      </c>
      <c r="I375">
        <v>149.63</v>
      </c>
      <c r="J375">
        <v>5</v>
      </c>
      <c r="K375">
        <v>0</v>
      </c>
      <c r="L375">
        <v>6.98</v>
      </c>
    </row>
    <row r="376" spans="1:12" x14ac:dyDescent="0.25">
      <c r="A376" t="s">
        <v>409</v>
      </c>
      <c r="B376" s="1">
        <v>45139</v>
      </c>
      <c r="C376" s="1">
        <v>45141</v>
      </c>
      <c r="D376" t="s">
        <v>25</v>
      </c>
      <c r="E376" t="s">
        <v>14</v>
      </c>
      <c r="F376" t="s">
        <v>32</v>
      </c>
      <c r="G376" t="s">
        <v>22</v>
      </c>
      <c r="H376" t="s">
        <v>35</v>
      </c>
      <c r="I376">
        <v>286.86</v>
      </c>
      <c r="J376">
        <v>3</v>
      </c>
      <c r="K376">
        <v>0.2</v>
      </c>
      <c r="L376">
        <v>8.89</v>
      </c>
    </row>
    <row r="377" spans="1:12" x14ac:dyDescent="0.25">
      <c r="A377" t="s">
        <v>410</v>
      </c>
      <c r="B377" s="1">
        <v>45100</v>
      </c>
      <c r="C377" s="1">
        <v>45102</v>
      </c>
      <c r="D377" t="s">
        <v>25</v>
      </c>
      <c r="E377" t="s">
        <v>20</v>
      </c>
      <c r="F377" t="s">
        <v>26</v>
      </c>
      <c r="G377" t="s">
        <v>16</v>
      </c>
      <c r="H377" t="s">
        <v>38</v>
      </c>
      <c r="I377">
        <v>539.07000000000005</v>
      </c>
      <c r="J377">
        <v>1</v>
      </c>
      <c r="K377">
        <v>0.1</v>
      </c>
      <c r="L377">
        <v>20.36</v>
      </c>
    </row>
    <row r="378" spans="1:12" x14ac:dyDescent="0.25">
      <c r="A378" t="s">
        <v>411</v>
      </c>
      <c r="B378" s="1">
        <v>45289</v>
      </c>
      <c r="C378" s="1">
        <v>45292</v>
      </c>
      <c r="D378" t="s">
        <v>28</v>
      </c>
      <c r="E378" t="s">
        <v>14</v>
      </c>
      <c r="F378" t="s">
        <v>32</v>
      </c>
      <c r="G378" t="s">
        <v>22</v>
      </c>
      <c r="H378" t="s">
        <v>23</v>
      </c>
      <c r="I378">
        <v>288.57</v>
      </c>
      <c r="J378">
        <v>8</v>
      </c>
      <c r="K378">
        <v>0</v>
      </c>
      <c r="L378">
        <v>37.22</v>
      </c>
    </row>
    <row r="379" spans="1:12" x14ac:dyDescent="0.25">
      <c r="A379" t="s">
        <v>412</v>
      </c>
      <c r="B379" s="1">
        <v>45158</v>
      </c>
      <c r="C379" s="1">
        <v>45165</v>
      </c>
      <c r="D379" t="s">
        <v>28</v>
      </c>
      <c r="E379" t="s">
        <v>37</v>
      </c>
      <c r="F379" t="s">
        <v>15</v>
      </c>
      <c r="G379" t="s">
        <v>29</v>
      </c>
      <c r="H379" t="s">
        <v>45</v>
      </c>
      <c r="I379">
        <v>507.52</v>
      </c>
      <c r="J379">
        <v>1</v>
      </c>
      <c r="K379">
        <v>0.3</v>
      </c>
      <c r="L379">
        <v>-107.05</v>
      </c>
    </row>
    <row r="380" spans="1:12" x14ac:dyDescent="0.25">
      <c r="A380" t="s">
        <v>413</v>
      </c>
      <c r="B380" s="1">
        <v>45071</v>
      </c>
      <c r="C380" s="1">
        <v>45075</v>
      </c>
      <c r="D380" t="s">
        <v>13</v>
      </c>
      <c r="E380" t="s">
        <v>20</v>
      </c>
      <c r="F380" t="s">
        <v>32</v>
      </c>
      <c r="G380" t="s">
        <v>29</v>
      </c>
      <c r="H380" t="s">
        <v>43</v>
      </c>
      <c r="I380">
        <v>30.78</v>
      </c>
      <c r="J380">
        <v>2</v>
      </c>
      <c r="K380">
        <v>0</v>
      </c>
      <c r="L380">
        <v>1.54</v>
      </c>
    </row>
    <row r="381" spans="1:12" x14ac:dyDescent="0.25">
      <c r="A381" t="s">
        <v>414</v>
      </c>
      <c r="B381" s="1">
        <v>44996</v>
      </c>
      <c r="C381" s="1">
        <v>44999</v>
      </c>
      <c r="D381" t="s">
        <v>28</v>
      </c>
      <c r="E381" t="s">
        <v>20</v>
      </c>
      <c r="F381" t="s">
        <v>32</v>
      </c>
      <c r="G381" t="s">
        <v>16</v>
      </c>
      <c r="H381" t="s">
        <v>33</v>
      </c>
      <c r="I381">
        <v>281.17</v>
      </c>
      <c r="J381">
        <v>3</v>
      </c>
      <c r="K381">
        <v>0.2</v>
      </c>
      <c r="L381">
        <v>-6.3</v>
      </c>
    </row>
    <row r="382" spans="1:12" x14ac:dyDescent="0.25">
      <c r="A382" t="s">
        <v>415</v>
      </c>
      <c r="B382" s="1">
        <v>45083</v>
      </c>
      <c r="C382" s="1">
        <v>45090</v>
      </c>
      <c r="D382" t="s">
        <v>19</v>
      </c>
      <c r="E382" t="s">
        <v>20</v>
      </c>
      <c r="F382" t="s">
        <v>15</v>
      </c>
      <c r="G382" t="s">
        <v>29</v>
      </c>
      <c r="H382" t="s">
        <v>30</v>
      </c>
      <c r="I382">
        <v>608.51</v>
      </c>
      <c r="J382">
        <v>5</v>
      </c>
      <c r="K382">
        <v>0</v>
      </c>
      <c r="L382">
        <v>75.45</v>
      </c>
    </row>
    <row r="383" spans="1:12" x14ac:dyDescent="0.25">
      <c r="A383" t="s">
        <v>416</v>
      </c>
      <c r="B383" s="1">
        <v>45069</v>
      </c>
      <c r="C383" s="1">
        <v>45072</v>
      </c>
      <c r="D383" t="s">
        <v>13</v>
      </c>
      <c r="E383" t="s">
        <v>14</v>
      </c>
      <c r="F383" t="s">
        <v>15</v>
      </c>
      <c r="G383" t="s">
        <v>29</v>
      </c>
      <c r="H383" t="s">
        <v>43</v>
      </c>
      <c r="I383">
        <v>581.83000000000004</v>
      </c>
      <c r="J383">
        <v>5</v>
      </c>
      <c r="K383">
        <v>0</v>
      </c>
      <c r="L383">
        <v>67.5</v>
      </c>
    </row>
    <row r="384" spans="1:12" x14ac:dyDescent="0.25">
      <c r="A384" t="s">
        <v>417</v>
      </c>
      <c r="B384" s="1">
        <v>44980</v>
      </c>
      <c r="C384" s="1">
        <v>44981</v>
      </c>
      <c r="D384" t="s">
        <v>28</v>
      </c>
      <c r="E384" t="s">
        <v>14</v>
      </c>
      <c r="F384" t="s">
        <v>15</v>
      </c>
      <c r="G384" t="s">
        <v>16</v>
      </c>
      <c r="H384" t="s">
        <v>17</v>
      </c>
      <c r="I384">
        <v>395.48</v>
      </c>
      <c r="J384">
        <v>2</v>
      </c>
      <c r="K384">
        <v>0.1</v>
      </c>
      <c r="L384">
        <v>9.5399999999999991</v>
      </c>
    </row>
    <row r="385" spans="1:12" x14ac:dyDescent="0.25">
      <c r="A385" t="s">
        <v>418</v>
      </c>
      <c r="B385" s="1">
        <v>45000</v>
      </c>
      <c r="C385" s="1">
        <v>45004</v>
      </c>
      <c r="D385" t="s">
        <v>28</v>
      </c>
      <c r="E385" t="s">
        <v>14</v>
      </c>
      <c r="F385" t="s">
        <v>26</v>
      </c>
      <c r="G385" t="s">
        <v>16</v>
      </c>
      <c r="H385" t="s">
        <v>33</v>
      </c>
      <c r="I385">
        <v>366.79</v>
      </c>
      <c r="J385">
        <v>7</v>
      </c>
      <c r="K385">
        <v>0.1</v>
      </c>
      <c r="L385">
        <v>31.66</v>
      </c>
    </row>
    <row r="386" spans="1:12" x14ac:dyDescent="0.25">
      <c r="A386" t="s">
        <v>419</v>
      </c>
      <c r="B386" s="1">
        <v>45122</v>
      </c>
      <c r="C386" s="1">
        <v>45123</v>
      </c>
      <c r="D386" t="s">
        <v>13</v>
      </c>
      <c r="E386" t="s">
        <v>20</v>
      </c>
      <c r="F386" t="s">
        <v>26</v>
      </c>
      <c r="G386" t="s">
        <v>22</v>
      </c>
      <c r="H386" t="s">
        <v>35</v>
      </c>
      <c r="I386">
        <v>101.14</v>
      </c>
      <c r="J386">
        <v>8</v>
      </c>
      <c r="K386">
        <v>0.3</v>
      </c>
      <c r="L386">
        <v>13.74</v>
      </c>
    </row>
    <row r="387" spans="1:12" x14ac:dyDescent="0.25">
      <c r="A387" t="s">
        <v>420</v>
      </c>
      <c r="B387" s="1">
        <v>45038</v>
      </c>
      <c r="C387" s="1">
        <v>45042</v>
      </c>
      <c r="D387" t="s">
        <v>28</v>
      </c>
      <c r="E387" t="s">
        <v>14</v>
      </c>
      <c r="F387" t="s">
        <v>21</v>
      </c>
      <c r="G387" t="s">
        <v>22</v>
      </c>
      <c r="H387" t="s">
        <v>23</v>
      </c>
      <c r="I387">
        <v>86.88</v>
      </c>
      <c r="J387">
        <v>3</v>
      </c>
      <c r="K387">
        <v>0.2</v>
      </c>
      <c r="L387">
        <v>-8.48</v>
      </c>
    </row>
    <row r="388" spans="1:12" x14ac:dyDescent="0.25">
      <c r="A388" t="s">
        <v>421</v>
      </c>
      <c r="B388" s="1">
        <v>45076</v>
      </c>
      <c r="C388" s="1">
        <v>45077</v>
      </c>
      <c r="D388" t="s">
        <v>13</v>
      </c>
      <c r="E388" t="s">
        <v>14</v>
      </c>
      <c r="F388" t="s">
        <v>26</v>
      </c>
      <c r="G388" t="s">
        <v>22</v>
      </c>
      <c r="H388" t="s">
        <v>40</v>
      </c>
      <c r="I388">
        <v>368.56</v>
      </c>
      <c r="J388">
        <v>6</v>
      </c>
      <c r="K388">
        <v>0</v>
      </c>
      <c r="L388">
        <v>67.36</v>
      </c>
    </row>
    <row r="389" spans="1:12" x14ac:dyDescent="0.25">
      <c r="A389" t="s">
        <v>422</v>
      </c>
      <c r="B389" s="1">
        <v>45164</v>
      </c>
      <c r="C389" s="1">
        <v>45166</v>
      </c>
      <c r="D389" t="s">
        <v>25</v>
      </c>
      <c r="E389" t="s">
        <v>14</v>
      </c>
      <c r="F389" t="s">
        <v>21</v>
      </c>
      <c r="G389" t="s">
        <v>16</v>
      </c>
      <c r="H389" t="s">
        <v>38</v>
      </c>
      <c r="I389">
        <v>618.20000000000005</v>
      </c>
      <c r="J389">
        <v>1</v>
      </c>
      <c r="K389">
        <v>0.1</v>
      </c>
      <c r="L389">
        <v>13.32</v>
      </c>
    </row>
    <row r="390" spans="1:12" x14ac:dyDescent="0.25">
      <c r="A390" t="s">
        <v>423</v>
      </c>
      <c r="B390" s="1">
        <v>45071</v>
      </c>
      <c r="C390" s="1">
        <v>45073</v>
      </c>
      <c r="D390" t="s">
        <v>19</v>
      </c>
      <c r="E390" t="s">
        <v>20</v>
      </c>
      <c r="F390" t="s">
        <v>21</v>
      </c>
      <c r="G390" t="s">
        <v>22</v>
      </c>
      <c r="H390" t="s">
        <v>40</v>
      </c>
      <c r="I390">
        <v>670.4</v>
      </c>
      <c r="J390">
        <v>2</v>
      </c>
      <c r="K390">
        <v>0.1</v>
      </c>
      <c r="L390">
        <v>-10.55</v>
      </c>
    </row>
    <row r="391" spans="1:12" x14ac:dyDescent="0.25">
      <c r="A391" t="s">
        <v>424</v>
      </c>
      <c r="B391" s="1">
        <v>45105</v>
      </c>
      <c r="C391" s="1">
        <v>45109</v>
      </c>
      <c r="D391" t="s">
        <v>28</v>
      </c>
      <c r="E391" t="s">
        <v>20</v>
      </c>
      <c r="F391" t="s">
        <v>32</v>
      </c>
      <c r="G391" t="s">
        <v>29</v>
      </c>
      <c r="H391" t="s">
        <v>43</v>
      </c>
      <c r="I391">
        <v>494.08</v>
      </c>
      <c r="J391">
        <v>3</v>
      </c>
      <c r="K391">
        <v>0.1</v>
      </c>
      <c r="L391">
        <v>-17.82</v>
      </c>
    </row>
    <row r="392" spans="1:12" x14ac:dyDescent="0.25">
      <c r="A392" t="s">
        <v>425</v>
      </c>
      <c r="B392" s="1">
        <v>45035</v>
      </c>
      <c r="C392" s="1">
        <v>45037</v>
      </c>
      <c r="D392" t="s">
        <v>28</v>
      </c>
      <c r="E392" t="s">
        <v>14</v>
      </c>
      <c r="F392" t="s">
        <v>15</v>
      </c>
      <c r="G392" t="s">
        <v>16</v>
      </c>
      <c r="H392" t="s">
        <v>33</v>
      </c>
      <c r="I392">
        <v>277.02</v>
      </c>
      <c r="J392">
        <v>9</v>
      </c>
      <c r="K392">
        <v>0.2</v>
      </c>
      <c r="L392">
        <v>11.21</v>
      </c>
    </row>
    <row r="393" spans="1:12" x14ac:dyDescent="0.25">
      <c r="A393" t="s">
        <v>426</v>
      </c>
      <c r="B393" s="1">
        <v>44981</v>
      </c>
      <c r="C393" s="1">
        <v>44985</v>
      </c>
      <c r="D393" t="s">
        <v>28</v>
      </c>
      <c r="E393" t="s">
        <v>37</v>
      </c>
      <c r="F393" t="s">
        <v>21</v>
      </c>
      <c r="G393" t="s">
        <v>29</v>
      </c>
      <c r="H393" t="s">
        <v>43</v>
      </c>
      <c r="I393">
        <v>849.48</v>
      </c>
      <c r="J393">
        <v>2</v>
      </c>
      <c r="K393">
        <v>0.2</v>
      </c>
      <c r="L393">
        <v>-63.17</v>
      </c>
    </row>
    <row r="394" spans="1:12" x14ac:dyDescent="0.25">
      <c r="A394" t="s">
        <v>427</v>
      </c>
      <c r="B394" s="1">
        <v>45199</v>
      </c>
      <c r="C394" s="1">
        <v>45206</v>
      </c>
      <c r="D394" t="s">
        <v>19</v>
      </c>
      <c r="E394" t="s">
        <v>14</v>
      </c>
      <c r="F394" t="s">
        <v>32</v>
      </c>
      <c r="G394" t="s">
        <v>16</v>
      </c>
      <c r="H394" t="s">
        <v>33</v>
      </c>
      <c r="I394">
        <v>347.56</v>
      </c>
      <c r="J394">
        <v>1</v>
      </c>
      <c r="K394">
        <v>0.1</v>
      </c>
      <c r="L394">
        <v>13.2</v>
      </c>
    </row>
    <row r="395" spans="1:12" x14ac:dyDescent="0.25">
      <c r="A395" t="s">
        <v>428</v>
      </c>
      <c r="B395" s="1">
        <v>45128</v>
      </c>
      <c r="C395" s="1">
        <v>45132</v>
      </c>
      <c r="D395" t="s">
        <v>13</v>
      </c>
      <c r="E395" t="s">
        <v>37</v>
      </c>
      <c r="F395" t="s">
        <v>32</v>
      </c>
      <c r="G395" t="s">
        <v>29</v>
      </c>
      <c r="H395" t="s">
        <v>45</v>
      </c>
      <c r="I395">
        <v>357.5</v>
      </c>
      <c r="J395">
        <v>3</v>
      </c>
      <c r="K395">
        <v>0.3</v>
      </c>
      <c r="L395">
        <v>-40.53</v>
      </c>
    </row>
    <row r="396" spans="1:12" x14ac:dyDescent="0.25">
      <c r="A396" t="s">
        <v>429</v>
      </c>
      <c r="B396" s="1">
        <v>45136</v>
      </c>
      <c r="C396" s="1">
        <v>45140</v>
      </c>
      <c r="D396" t="s">
        <v>25</v>
      </c>
      <c r="E396" t="s">
        <v>14</v>
      </c>
      <c r="F396" t="s">
        <v>15</v>
      </c>
      <c r="G396" t="s">
        <v>29</v>
      </c>
      <c r="H396" t="s">
        <v>43</v>
      </c>
      <c r="I396">
        <v>505.58</v>
      </c>
      <c r="J396">
        <v>4</v>
      </c>
      <c r="K396">
        <v>0.2</v>
      </c>
      <c r="L396">
        <v>-28.68</v>
      </c>
    </row>
    <row r="397" spans="1:12" x14ac:dyDescent="0.25">
      <c r="A397" t="s">
        <v>430</v>
      </c>
      <c r="B397" s="1">
        <v>45280</v>
      </c>
      <c r="C397" s="1">
        <v>45284</v>
      </c>
      <c r="D397" t="s">
        <v>19</v>
      </c>
      <c r="E397" t="s">
        <v>20</v>
      </c>
      <c r="F397" t="s">
        <v>21</v>
      </c>
      <c r="G397" t="s">
        <v>29</v>
      </c>
      <c r="H397" t="s">
        <v>30</v>
      </c>
      <c r="I397">
        <v>470.49</v>
      </c>
      <c r="J397">
        <v>6</v>
      </c>
      <c r="K397">
        <v>0.2</v>
      </c>
      <c r="L397">
        <v>-9.7100000000000009</v>
      </c>
    </row>
    <row r="398" spans="1:12" x14ac:dyDescent="0.25">
      <c r="A398" t="s">
        <v>431</v>
      </c>
      <c r="B398" s="1">
        <v>45136</v>
      </c>
      <c r="C398" s="1">
        <v>45137</v>
      </c>
      <c r="D398" t="s">
        <v>28</v>
      </c>
      <c r="E398" t="s">
        <v>20</v>
      </c>
      <c r="F398" t="s">
        <v>21</v>
      </c>
      <c r="G398" t="s">
        <v>22</v>
      </c>
      <c r="H398" t="s">
        <v>35</v>
      </c>
      <c r="I398">
        <v>803.43</v>
      </c>
      <c r="J398">
        <v>3</v>
      </c>
      <c r="K398">
        <v>0.3</v>
      </c>
      <c r="L398">
        <v>-112.95</v>
      </c>
    </row>
    <row r="399" spans="1:12" x14ac:dyDescent="0.25">
      <c r="A399" t="s">
        <v>432</v>
      </c>
      <c r="B399" s="1">
        <v>45048</v>
      </c>
      <c r="C399" s="1">
        <v>45052</v>
      </c>
      <c r="D399" t="s">
        <v>13</v>
      </c>
      <c r="E399" t="s">
        <v>37</v>
      </c>
      <c r="F399" t="s">
        <v>21</v>
      </c>
      <c r="G399" t="s">
        <v>22</v>
      </c>
      <c r="H399" t="s">
        <v>35</v>
      </c>
      <c r="I399">
        <v>25.15</v>
      </c>
      <c r="J399">
        <v>7</v>
      </c>
      <c r="K399">
        <v>0.3</v>
      </c>
      <c r="L399">
        <v>0.24</v>
      </c>
    </row>
    <row r="400" spans="1:12" x14ac:dyDescent="0.25">
      <c r="A400" t="s">
        <v>433</v>
      </c>
      <c r="B400" s="1">
        <v>45224</v>
      </c>
      <c r="C400" s="1">
        <v>45225</v>
      </c>
      <c r="D400" t="s">
        <v>28</v>
      </c>
      <c r="E400" t="s">
        <v>20</v>
      </c>
      <c r="F400" t="s">
        <v>15</v>
      </c>
      <c r="G400" t="s">
        <v>16</v>
      </c>
      <c r="H400" t="s">
        <v>38</v>
      </c>
      <c r="I400">
        <v>109.75</v>
      </c>
      <c r="J400">
        <v>3</v>
      </c>
      <c r="K400">
        <v>0.2</v>
      </c>
      <c r="L400">
        <v>36.369999999999997</v>
      </c>
    </row>
    <row r="401" spans="1:12" x14ac:dyDescent="0.25">
      <c r="A401" t="s">
        <v>434</v>
      </c>
      <c r="B401" s="1">
        <v>45013</v>
      </c>
      <c r="C401" s="1">
        <v>45018</v>
      </c>
      <c r="D401" t="s">
        <v>13</v>
      </c>
      <c r="E401" t="s">
        <v>20</v>
      </c>
      <c r="F401" t="s">
        <v>32</v>
      </c>
      <c r="G401" t="s">
        <v>29</v>
      </c>
      <c r="H401" t="s">
        <v>30</v>
      </c>
      <c r="I401">
        <v>794.21</v>
      </c>
      <c r="J401">
        <v>4</v>
      </c>
      <c r="K401">
        <v>0</v>
      </c>
      <c r="L401">
        <v>90.64</v>
      </c>
    </row>
    <row r="402" spans="1:12" x14ac:dyDescent="0.25">
      <c r="A402" t="s">
        <v>435</v>
      </c>
      <c r="B402" s="1">
        <v>45101</v>
      </c>
      <c r="C402" s="1">
        <v>45104</v>
      </c>
      <c r="D402" t="s">
        <v>25</v>
      </c>
      <c r="E402" t="s">
        <v>14</v>
      </c>
      <c r="F402" t="s">
        <v>26</v>
      </c>
      <c r="G402" t="s">
        <v>22</v>
      </c>
      <c r="H402" t="s">
        <v>23</v>
      </c>
      <c r="I402">
        <v>201.43</v>
      </c>
      <c r="J402">
        <v>6</v>
      </c>
      <c r="K402">
        <v>0.1</v>
      </c>
      <c r="L402">
        <v>47.07</v>
      </c>
    </row>
    <row r="403" spans="1:12" x14ac:dyDescent="0.25">
      <c r="A403" t="s">
        <v>436</v>
      </c>
      <c r="B403" s="1">
        <v>45204</v>
      </c>
      <c r="C403" s="1">
        <v>45206</v>
      </c>
      <c r="D403" t="s">
        <v>13</v>
      </c>
      <c r="E403" t="s">
        <v>14</v>
      </c>
      <c r="F403" t="s">
        <v>26</v>
      </c>
      <c r="G403" t="s">
        <v>16</v>
      </c>
      <c r="H403" t="s">
        <v>33</v>
      </c>
      <c r="I403">
        <v>763.22</v>
      </c>
      <c r="J403">
        <v>1</v>
      </c>
      <c r="K403">
        <v>0.2</v>
      </c>
      <c r="L403">
        <v>-39.86</v>
      </c>
    </row>
    <row r="404" spans="1:12" x14ac:dyDescent="0.25">
      <c r="A404" t="s">
        <v>437</v>
      </c>
      <c r="B404" s="1">
        <v>45131</v>
      </c>
      <c r="C404" s="1">
        <v>45134</v>
      </c>
      <c r="D404" t="s">
        <v>13</v>
      </c>
      <c r="E404" t="s">
        <v>20</v>
      </c>
      <c r="F404" t="s">
        <v>21</v>
      </c>
      <c r="G404" t="s">
        <v>16</v>
      </c>
      <c r="H404" t="s">
        <v>38</v>
      </c>
      <c r="I404">
        <v>665.61</v>
      </c>
      <c r="J404">
        <v>7</v>
      </c>
      <c r="K404">
        <v>0.1</v>
      </c>
      <c r="L404">
        <v>24.61</v>
      </c>
    </row>
    <row r="405" spans="1:12" x14ac:dyDescent="0.25">
      <c r="A405" t="s">
        <v>438</v>
      </c>
      <c r="B405" s="1">
        <v>45122</v>
      </c>
      <c r="C405" s="1">
        <v>45128</v>
      </c>
      <c r="D405" t="s">
        <v>19</v>
      </c>
      <c r="E405" t="s">
        <v>14</v>
      </c>
      <c r="F405" t="s">
        <v>15</v>
      </c>
      <c r="G405" t="s">
        <v>16</v>
      </c>
      <c r="H405" t="s">
        <v>17</v>
      </c>
      <c r="I405">
        <v>980.97</v>
      </c>
      <c r="J405">
        <v>5</v>
      </c>
      <c r="K405">
        <v>0.1</v>
      </c>
      <c r="L405">
        <v>14.26</v>
      </c>
    </row>
    <row r="406" spans="1:12" x14ac:dyDescent="0.25">
      <c r="A406" t="s">
        <v>439</v>
      </c>
      <c r="B406" s="1">
        <v>45083</v>
      </c>
      <c r="C406" s="1">
        <v>45087</v>
      </c>
      <c r="D406" t="s">
        <v>13</v>
      </c>
      <c r="E406" t="s">
        <v>37</v>
      </c>
      <c r="F406" t="s">
        <v>32</v>
      </c>
      <c r="G406" t="s">
        <v>16</v>
      </c>
      <c r="H406" t="s">
        <v>17</v>
      </c>
      <c r="I406">
        <v>236.79</v>
      </c>
      <c r="J406">
        <v>1</v>
      </c>
      <c r="K406">
        <v>0.1</v>
      </c>
      <c r="L406">
        <v>-16.39</v>
      </c>
    </row>
    <row r="407" spans="1:12" x14ac:dyDescent="0.25">
      <c r="A407" t="s">
        <v>440</v>
      </c>
      <c r="B407" s="1">
        <v>45151</v>
      </c>
      <c r="C407" s="1">
        <v>45152</v>
      </c>
      <c r="D407" t="s">
        <v>28</v>
      </c>
      <c r="E407" t="s">
        <v>14</v>
      </c>
      <c r="F407" t="s">
        <v>21</v>
      </c>
      <c r="G407" t="s">
        <v>22</v>
      </c>
      <c r="H407" t="s">
        <v>23</v>
      </c>
      <c r="I407">
        <v>676.52</v>
      </c>
      <c r="J407">
        <v>4</v>
      </c>
      <c r="K407">
        <v>0.3</v>
      </c>
      <c r="L407">
        <v>-105.91</v>
      </c>
    </row>
    <row r="408" spans="1:12" x14ac:dyDescent="0.25">
      <c r="A408" t="s">
        <v>441</v>
      </c>
      <c r="B408" s="1">
        <v>45018</v>
      </c>
      <c r="C408" s="1">
        <v>45025</v>
      </c>
      <c r="D408" t="s">
        <v>13</v>
      </c>
      <c r="E408" t="s">
        <v>20</v>
      </c>
      <c r="F408" t="s">
        <v>15</v>
      </c>
      <c r="G408" t="s">
        <v>16</v>
      </c>
      <c r="H408" t="s">
        <v>17</v>
      </c>
      <c r="I408">
        <v>926.74</v>
      </c>
      <c r="J408">
        <v>5</v>
      </c>
      <c r="K408">
        <v>0.2</v>
      </c>
      <c r="L408">
        <v>-73.77</v>
      </c>
    </row>
    <row r="409" spans="1:12" x14ac:dyDescent="0.25">
      <c r="A409" t="s">
        <v>442</v>
      </c>
      <c r="B409" s="1">
        <v>45170</v>
      </c>
      <c r="C409" s="1">
        <v>45174</v>
      </c>
      <c r="D409" t="s">
        <v>13</v>
      </c>
      <c r="E409" t="s">
        <v>20</v>
      </c>
      <c r="F409" t="s">
        <v>26</v>
      </c>
      <c r="G409" t="s">
        <v>16</v>
      </c>
      <c r="H409" t="s">
        <v>17</v>
      </c>
      <c r="I409">
        <v>483.75</v>
      </c>
      <c r="J409">
        <v>4</v>
      </c>
      <c r="K409">
        <v>0.2</v>
      </c>
      <c r="L409">
        <v>-66</v>
      </c>
    </row>
    <row r="410" spans="1:12" x14ac:dyDescent="0.25">
      <c r="A410" t="s">
        <v>443</v>
      </c>
      <c r="B410" s="1">
        <v>45184</v>
      </c>
      <c r="C410" s="1">
        <v>45189</v>
      </c>
      <c r="D410" t="s">
        <v>25</v>
      </c>
      <c r="E410" t="s">
        <v>37</v>
      </c>
      <c r="F410" t="s">
        <v>21</v>
      </c>
      <c r="G410" t="s">
        <v>29</v>
      </c>
      <c r="H410" t="s">
        <v>43</v>
      </c>
      <c r="I410">
        <v>703.47</v>
      </c>
      <c r="J410">
        <v>4</v>
      </c>
      <c r="K410">
        <v>0</v>
      </c>
      <c r="L410">
        <v>63.83</v>
      </c>
    </row>
    <row r="411" spans="1:12" x14ac:dyDescent="0.25">
      <c r="A411" t="s">
        <v>444</v>
      </c>
      <c r="B411" s="1">
        <v>45073</v>
      </c>
      <c r="C411" s="1">
        <v>45078</v>
      </c>
      <c r="D411" t="s">
        <v>19</v>
      </c>
      <c r="E411" t="s">
        <v>14</v>
      </c>
      <c r="F411" t="s">
        <v>26</v>
      </c>
      <c r="G411" t="s">
        <v>29</v>
      </c>
      <c r="H411" t="s">
        <v>45</v>
      </c>
      <c r="I411">
        <v>132.97999999999999</v>
      </c>
      <c r="J411">
        <v>7</v>
      </c>
      <c r="K411">
        <v>0.2</v>
      </c>
      <c r="L411">
        <v>32.799999999999997</v>
      </c>
    </row>
    <row r="412" spans="1:12" x14ac:dyDescent="0.25">
      <c r="A412" t="s">
        <v>445</v>
      </c>
      <c r="B412" s="1">
        <v>44941</v>
      </c>
      <c r="C412" s="1">
        <v>44947</v>
      </c>
      <c r="D412" t="s">
        <v>19</v>
      </c>
      <c r="E412" t="s">
        <v>14</v>
      </c>
      <c r="F412" t="s">
        <v>15</v>
      </c>
      <c r="G412" t="s">
        <v>29</v>
      </c>
      <c r="H412" t="s">
        <v>43</v>
      </c>
      <c r="I412">
        <v>484.73</v>
      </c>
      <c r="J412">
        <v>9</v>
      </c>
      <c r="K412">
        <v>0.1</v>
      </c>
      <c r="L412">
        <v>-16.16</v>
      </c>
    </row>
    <row r="413" spans="1:12" x14ac:dyDescent="0.25">
      <c r="A413" t="s">
        <v>446</v>
      </c>
      <c r="B413" s="1">
        <v>45071</v>
      </c>
      <c r="C413" s="1">
        <v>45076</v>
      </c>
      <c r="D413" t="s">
        <v>28</v>
      </c>
      <c r="E413" t="s">
        <v>14</v>
      </c>
      <c r="F413" t="s">
        <v>21</v>
      </c>
      <c r="G413" t="s">
        <v>16</v>
      </c>
      <c r="H413" t="s">
        <v>33</v>
      </c>
      <c r="I413">
        <v>466.04</v>
      </c>
      <c r="J413">
        <v>7</v>
      </c>
      <c r="K413">
        <v>0.2</v>
      </c>
      <c r="L413">
        <v>-8.58</v>
      </c>
    </row>
    <row r="414" spans="1:12" x14ac:dyDescent="0.25">
      <c r="A414" t="s">
        <v>447</v>
      </c>
      <c r="B414" s="1">
        <v>45054</v>
      </c>
      <c r="C414" s="1">
        <v>45056</v>
      </c>
      <c r="D414" t="s">
        <v>28</v>
      </c>
      <c r="E414" t="s">
        <v>20</v>
      </c>
      <c r="F414" t="s">
        <v>21</v>
      </c>
      <c r="G414" t="s">
        <v>16</v>
      </c>
      <c r="H414" t="s">
        <v>38</v>
      </c>
      <c r="I414">
        <v>56.27</v>
      </c>
      <c r="J414">
        <v>10</v>
      </c>
      <c r="K414">
        <v>0.2</v>
      </c>
      <c r="L414">
        <v>-0.1</v>
      </c>
    </row>
    <row r="415" spans="1:12" x14ac:dyDescent="0.25">
      <c r="A415" t="s">
        <v>448</v>
      </c>
      <c r="B415" s="1">
        <v>45235</v>
      </c>
      <c r="C415" s="1">
        <v>45238</v>
      </c>
      <c r="D415" t="s">
        <v>25</v>
      </c>
      <c r="E415" t="s">
        <v>20</v>
      </c>
      <c r="F415" t="s">
        <v>21</v>
      </c>
      <c r="G415" t="s">
        <v>16</v>
      </c>
      <c r="H415" t="s">
        <v>17</v>
      </c>
      <c r="I415">
        <v>569.46</v>
      </c>
      <c r="J415">
        <v>7</v>
      </c>
      <c r="K415">
        <v>0</v>
      </c>
      <c r="L415">
        <v>42.33</v>
      </c>
    </row>
    <row r="416" spans="1:12" x14ac:dyDescent="0.25">
      <c r="A416" t="s">
        <v>449</v>
      </c>
      <c r="B416" s="1">
        <v>45049</v>
      </c>
      <c r="C416" s="1">
        <v>45050</v>
      </c>
      <c r="D416" t="s">
        <v>28</v>
      </c>
      <c r="E416" t="s">
        <v>20</v>
      </c>
      <c r="F416" t="s">
        <v>15</v>
      </c>
      <c r="G416" t="s">
        <v>29</v>
      </c>
      <c r="H416" t="s">
        <v>30</v>
      </c>
      <c r="I416">
        <v>702.36</v>
      </c>
      <c r="J416">
        <v>2</v>
      </c>
      <c r="K416">
        <v>0.3</v>
      </c>
      <c r="L416">
        <v>-129.6</v>
      </c>
    </row>
    <row r="417" spans="1:12" x14ac:dyDescent="0.25">
      <c r="A417" t="s">
        <v>450</v>
      </c>
      <c r="B417" s="1">
        <v>45158</v>
      </c>
      <c r="C417" s="1">
        <v>45165</v>
      </c>
      <c r="D417" t="s">
        <v>25</v>
      </c>
      <c r="E417" t="s">
        <v>20</v>
      </c>
      <c r="F417" t="s">
        <v>15</v>
      </c>
      <c r="G417" t="s">
        <v>16</v>
      </c>
      <c r="H417" t="s">
        <v>33</v>
      </c>
      <c r="I417">
        <v>416.4</v>
      </c>
      <c r="J417">
        <v>3</v>
      </c>
      <c r="K417">
        <v>0.2</v>
      </c>
      <c r="L417">
        <v>-39.57</v>
      </c>
    </row>
    <row r="418" spans="1:12" x14ac:dyDescent="0.25">
      <c r="A418" t="s">
        <v>451</v>
      </c>
      <c r="B418" s="1">
        <v>45152</v>
      </c>
      <c r="C418" s="1">
        <v>45158</v>
      </c>
      <c r="D418" t="s">
        <v>13</v>
      </c>
      <c r="E418" t="s">
        <v>14</v>
      </c>
      <c r="F418" t="s">
        <v>21</v>
      </c>
      <c r="G418" t="s">
        <v>29</v>
      </c>
      <c r="H418" t="s">
        <v>45</v>
      </c>
      <c r="I418">
        <v>548.70000000000005</v>
      </c>
      <c r="J418">
        <v>2</v>
      </c>
      <c r="K418">
        <v>0</v>
      </c>
      <c r="L418">
        <v>81.19</v>
      </c>
    </row>
    <row r="419" spans="1:12" x14ac:dyDescent="0.25">
      <c r="A419" t="s">
        <v>452</v>
      </c>
      <c r="B419" s="1">
        <v>45014</v>
      </c>
      <c r="C419" s="1">
        <v>45019</v>
      </c>
      <c r="D419" t="s">
        <v>28</v>
      </c>
      <c r="E419" t="s">
        <v>20</v>
      </c>
      <c r="F419" t="s">
        <v>32</v>
      </c>
      <c r="G419" t="s">
        <v>16</v>
      </c>
      <c r="H419" t="s">
        <v>17</v>
      </c>
      <c r="I419">
        <v>743.1</v>
      </c>
      <c r="J419">
        <v>1</v>
      </c>
      <c r="K419">
        <v>0</v>
      </c>
      <c r="L419">
        <v>116.33</v>
      </c>
    </row>
    <row r="420" spans="1:12" x14ac:dyDescent="0.25">
      <c r="A420" t="s">
        <v>453</v>
      </c>
      <c r="B420" s="1">
        <v>45204</v>
      </c>
      <c r="C420" s="1">
        <v>45208</v>
      </c>
      <c r="D420" t="s">
        <v>28</v>
      </c>
      <c r="E420" t="s">
        <v>37</v>
      </c>
      <c r="F420" t="s">
        <v>15</v>
      </c>
      <c r="G420" t="s">
        <v>22</v>
      </c>
      <c r="H420" t="s">
        <v>23</v>
      </c>
      <c r="I420">
        <v>623.54999999999995</v>
      </c>
      <c r="J420">
        <v>2</v>
      </c>
      <c r="K420">
        <v>0.1</v>
      </c>
      <c r="L420">
        <v>9.23</v>
      </c>
    </row>
    <row r="421" spans="1:12" x14ac:dyDescent="0.25">
      <c r="A421" t="s">
        <v>454</v>
      </c>
      <c r="B421" s="1">
        <v>45255</v>
      </c>
      <c r="C421" s="1">
        <v>45262</v>
      </c>
      <c r="D421" t="s">
        <v>28</v>
      </c>
      <c r="E421" t="s">
        <v>20</v>
      </c>
      <c r="F421" t="s">
        <v>26</v>
      </c>
      <c r="G421" t="s">
        <v>29</v>
      </c>
      <c r="H421" t="s">
        <v>30</v>
      </c>
      <c r="I421">
        <v>472.7</v>
      </c>
      <c r="J421">
        <v>2</v>
      </c>
      <c r="K421">
        <v>0.1</v>
      </c>
      <c r="L421">
        <v>-18.510000000000002</v>
      </c>
    </row>
    <row r="422" spans="1:12" x14ac:dyDescent="0.25">
      <c r="A422" t="s">
        <v>455</v>
      </c>
      <c r="B422" s="1">
        <v>45149</v>
      </c>
      <c r="C422" s="1">
        <v>45154</v>
      </c>
      <c r="D422" t="s">
        <v>28</v>
      </c>
      <c r="E422" t="s">
        <v>37</v>
      </c>
      <c r="F422" t="s">
        <v>32</v>
      </c>
      <c r="G422" t="s">
        <v>22</v>
      </c>
      <c r="H422" t="s">
        <v>23</v>
      </c>
      <c r="I422">
        <v>877.21</v>
      </c>
      <c r="J422">
        <v>9</v>
      </c>
      <c r="K422">
        <v>0</v>
      </c>
      <c r="L422">
        <v>94.6</v>
      </c>
    </row>
    <row r="423" spans="1:12" x14ac:dyDescent="0.25">
      <c r="A423" t="s">
        <v>456</v>
      </c>
      <c r="B423" s="1">
        <v>45129</v>
      </c>
      <c r="C423" s="1">
        <v>45131</v>
      </c>
      <c r="D423" t="s">
        <v>19</v>
      </c>
      <c r="E423" t="s">
        <v>14</v>
      </c>
      <c r="F423" t="s">
        <v>32</v>
      </c>
      <c r="G423" t="s">
        <v>16</v>
      </c>
      <c r="H423" t="s">
        <v>17</v>
      </c>
      <c r="I423">
        <v>933.94</v>
      </c>
      <c r="J423">
        <v>2</v>
      </c>
      <c r="K423">
        <v>0.2</v>
      </c>
      <c r="L423">
        <v>-43.54</v>
      </c>
    </row>
    <row r="424" spans="1:12" x14ac:dyDescent="0.25">
      <c r="A424" t="s">
        <v>457</v>
      </c>
      <c r="B424" s="1">
        <v>45224</v>
      </c>
      <c r="C424" s="1">
        <v>45225</v>
      </c>
      <c r="D424" t="s">
        <v>25</v>
      </c>
      <c r="E424" t="s">
        <v>14</v>
      </c>
      <c r="F424" t="s">
        <v>21</v>
      </c>
      <c r="G424" t="s">
        <v>22</v>
      </c>
      <c r="H424" t="s">
        <v>23</v>
      </c>
      <c r="I424">
        <v>363.7</v>
      </c>
      <c r="J424">
        <v>4</v>
      </c>
      <c r="K424">
        <v>0.1</v>
      </c>
      <c r="L424">
        <v>-13.8</v>
      </c>
    </row>
    <row r="425" spans="1:12" x14ac:dyDescent="0.25">
      <c r="A425" t="s">
        <v>458</v>
      </c>
      <c r="B425" s="1">
        <v>45182</v>
      </c>
      <c r="C425" s="1">
        <v>45187</v>
      </c>
      <c r="D425" t="s">
        <v>19</v>
      </c>
      <c r="E425" t="s">
        <v>14</v>
      </c>
      <c r="F425" t="s">
        <v>21</v>
      </c>
      <c r="G425" t="s">
        <v>29</v>
      </c>
      <c r="H425" t="s">
        <v>43</v>
      </c>
      <c r="I425">
        <v>56.84</v>
      </c>
      <c r="J425">
        <v>6</v>
      </c>
      <c r="K425">
        <v>0.3</v>
      </c>
      <c r="L425">
        <v>12.56</v>
      </c>
    </row>
    <row r="426" spans="1:12" x14ac:dyDescent="0.25">
      <c r="A426" t="s">
        <v>459</v>
      </c>
      <c r="B426" s="1">
        <v>45066</v>
      </c>
      <c r="C426" s="1">
        <v>45068</v>
      </c>
      <c r="D426" t="s">
        <v>28</v>
      </c>
      <c r="E426" t="s">
        <v>37</v>
      </c>
      <c r="F426" t="s">
        <v>15</v>
      </c>
      <c r="G426" t="s">
        <v>22</v>
      </c>
      <c r="H426" t="s">
        <v>23</v>
      </c>
      <c r="I426">
        <v>876.2</v>
      </c>
      <c r="J426">
        <v>10</v>
      </c>
      <c r="K426">
        <v>0.2</v>
      </c>
      <c r="L426">
        <v>-79.739999999999995</v>
      </c>
    </row>
    <row r="427" spans="1:12" x14ac:dyDescent="0.25">
      <c r="A427" t="s">
        <v>460</v>
      </c>
      <c r="B427" s="1">
        <v>44984</v>
      </c>
      <c r="C427" s="1">
        <v>44991</v>
      </c>
      <c r="D427" t="s">
        <v>19</v>
      </c>
      <c r="E427" t="s">
        <v>37</v>
      </c>
      <c r="F427" t="s">
        <v>15</v>
      </c>
      <c r="G427" t="s">
        <v>16</v>
      </c>
      <c r="H427" t="s">
        <v>17</v>
      </c>
      <c r="I427">
        <v>109.87</v>
      </c>
      <c r="J427">
        <v>3</v>
      </c>
      <c r="K427">
        <v>0.2</v>
      </c>
      <c r="L427">
        <v>-1.49</v>
      </c>
    </row>
    <row r="428" spans="1:12" x14ac:dyDescent="0.25">
      <c r="A428" t="s">
        <v>461</v>
      </c>
      <c r="B428" s="1">
        <v>45008</v>
      </c>
      <c r="C428" s="1">
        <v>45015</v>
      </c>
      <c r="D428" t="s">
        <v>19</v>
      </c>
      <c r="E428" t="s">
        <v>14</v>
      </c>
      <c r="F428" t="s">
        <v>26</v>
      </c>
      <c r="G428" t="s">
        <v>29</v>
      </c>
      <c r="H428" t="s">
        <v>43</v>
      </c>
      <c r="I428">
        <v>742.83</v>
      </c>
      <c r="J428">
        <v>3</v>
      </c>
      <c r="K428">
        <v>0.1</v>
      </c>
      <c r="L428">
        <v>-19.77</v>
      </c>
    </row>
    <row r="429" spans="1:12" x14ac:dyDescent="0.25">
      <c r="A429" t="s">
        <v>462</v>
      </c>
      <c r="B429" s="1">
        <v>45213</v>
      </c>
      <c r="C429" s="1">
        <v>45218</v>
      </c>
      <c r="D429" t="s">
        <v>13</v>
      </c>
      <c r="E429" t="s">
        <v>37</v>
      </c>
      <c r="F429" t="s">
        <v>15</v>
      </c>
      <c r="G429" t="s">
        <v>29</v>
      </c>
      <c r="H429" t="s">
        <v>30</v>
      </c>
      <c r="I429">
        <v>477.96</v>
      </c>
      <c r="J429">
        <v>10</v>
      </c>
      <c r="K429">
        <v>0.3</v>
      </c>
      <c r="L429">
        <v>-95.49</v>
      </c>
    </row>
    <row r="430" spans="1:12" x14ac:dyDescent="0.25">
      <c r="A430" t="s">
        <v>463</v>
      </c>
      <c r="B430" s="1">
        <v>45034</v>
      </c>
      <c r="C430" s="1">
        <v>45040</v>
      </c>
      <c r="D430" t="s">
        <v>19</v>
      </c>
      <c r="E430" t="s">
        <v>14</v>
      </c>
      <c r="F430" t="s">
        <v>21</v>
      </c>
      <c r="G430" t="s">
        <v>29</v>
      </c>
      <c r="H430" t="s">
        <v>43</v>
      </c>
      <c r="I430">
        <v>310.38</v>
      </c>
      <c r="J430">
        <v>7</v>
      </c>
      <c r="K430">
        <v>0.1</v>
      </c>
      <c r="L430">
        <v>21.24</v>
      </c>
    </row>
    <row r="431" spans="1:12" x14ac:dyDescent="0.25">
      <c r="A431" t="s">
        <v>464</v>
      </c>
      <c r="B431" s="1">
        <v>45084</v>
      </c>
      <c r="C431" s="1">
        <v>45087</v>
      </c>
      <c r="D431" t="s">
        <v>28</v>
      </c>
      <c r="E431" t="s">
        <v>37</v>
      </c>
      <c r="F431" t="s">
        <v>21</v>
      </c>
      <c r="G431" t="s">
        <v>16</v>
      </c>
      <c r="H431" t="s">
        <v>17</v>
      </c>
      <c r="I431">
        <v>291.72000000000003</v>
      </c>
      <c r="J431">
        <v>1</v>
      </c>
      <c r="K431">
        <v>0</v>
      </c>
      <c r="L431">
        <v>78.31</v>
      </c>
    </row>
    <row r="432" spans="1:12" x14ac:dyDescent="0.25">
      <c r="A432" t="s">
        <v>465</v>
      </c>
      <c r="B432" s="1">
        <v>45185</v>
      </c>
      <c r="C432" s="1">
        <v>45186</v>
      </c>
      <c r="D432" t="s">
        <v>13</v>
      </c>
      <c r="E432" t="s">
        <v>20</v>
      </c>
      <c r="F432" t="s">
        <v>32</v>
      </c>
      <c r="G432" t="s">
        <v>22</v>
      </c>
      <c r="H432" t="s">
        <v>23</v>
      </c>
      <c r="I432">
        <v>439.22</v>
      </c>
      <c r="J432">
        <v>3</v>
      </c>
      <c r="K432">
        <v>0</v>
      </c>
      <c r="L432">
        <v>51.34</v>
      </c>
    </row>
    <row r="433" spans="1:12" x14ac:dyDescent="0.25">
      <c r="A433" t="s">
        <v>466</v>
      </c>
      <c r="B433" s="1">
        <v>44968</v>
      </c>
      <c r="C433" s="1">
        <v>44970</v>
      </c>
      <c r="D433" t="s">
        <v>25</v>
      </c>
      <c r="E433" t="s">
        <v>37</v>
      </c>
      <c r="F433" t="s">
        <v>15</v>
      </c>
      <c r="G433" t="s">
        <v>22</v>
      </c>
      <c r="H433" t="s">
        <v>40</v>
      </c>
      <c r="I433">
        <v>141.94999999999999</v>
      </c>
      <c r="J433">
        <v>8</v>
      </c>
      <c r="K433">
        <v>0.2</v>
      </c>
      <c r="L433">
        <v>32.299999999999997</v>
      </c>
    </row>
    <row r="434" spans="1:12" x14ac:dyDescent="0.25">
      <c r="A434" t="s">
        <v>467</v>
      </c>
      <c r="B434" s="1">
        <v>45216</v>
      </c>
      <c r="C434" s="1">
        <v>45219</v>
      </c>
      <c r="D434" t="s">
        <v>25</v>
      </c>
      <c r="E434" t="s">
        <v>14</v>
      </c>
      <c r="F434" t="s">
        <v>21</v>
      </c>
      <c r="G434" t="s">
        <v>22</v>
      </c>
      <c r="H434" t="s">
        <v>35</v>
      </c>
      <c r="I434">
        <v>790.62</v>
      </c>
      <c r="J434">
        <v>10</v>
      </c>
      <c r="K434">
        <v>0.2</v>
      </c>
      <c r="L434">
        <v>-57.86</v>
      </c>
    </row>
    <row r="435" spans="1:12" x14ac:dyDescent="0.25">
      <c r="A435" t="s">
        <v>468</v>
      </c>
      <c r="B435" s="1">
        <v>44953</v>
      </c>
      <c r="C435" s="1">
        <v>44955</v>
      </c>
      <c r="D435" t="s">
        <v>13</v>
      </c>
      <c r="E435" t="s">
        <v>20</v>
      </c>
      <c r="F435" t="s">
        <v>32</v>
      </c>
      <c r="G435" t="s">
        <v>22</v>
      </c>
      <c r="H435" t="s">
        <v>40</v>
      </c>
      <c r="I435">
        <v>982.68</v>
      </c>
      <c r="J435">
        <v>5</v>
      </c>
      <c r="K435">
        <v>0.2</v>
      </c>
      <c r="L435">
        <v>-52.14</v>
      </c>
    </row>
    <row r="436" spans="1:12" x14ac:dyDescent="0.25">
      <c r="A436" t="s">
        <v>469</v>
      </c>
      <c r="B436" s="1">
        <v>45026</v>
      </c>
      <c r="C436" s="1">
        <v>45029</v>
      </c>
      <c r="D436" t="s">
        <v>28</v>
      </c>
      <c r="E436" t="s">
        <v>14</v>
      </c>
      <c r="F436" t="s">
        <v>15</v>
      </c>
      <c r="G436" t="s">
        <v>16</v>
      </c>
      <c r="H436" t="s">
        <v>17</v>
      </c>
      <c r="I436">
        <v>478.05</v>
      </c>
      <c r="J436">
        <v>1</v>
      </c>
      <c r="K436">
        <v>0</v>
      </c>
      <c r="L436">
        <v>97.05</v>
      </c>
    </row>
    <row r="437" spans="1:12" x14ac:dyDescent="0.25">
      <c r="A437" t="s">
        <v>470</v>
      </c>
      <c r="B437" s="1">
        <v>45024</v>
      </c>
      <c r="C437" s="1">
        <v>45030</v>
      </c>
      <c r="D437" t="s">
        <v>19</v>
      </c>
      <c r="E437" t="s">
        <v>20</v>
      </c>
      <c r="F437" t="s">
        <v>15</v>
      </c>
      <c r="G437" t="s">
        <v>16</v>
      </c>
      <c r="H437" t="s">
        <v>17</v>
      </c>
      <c r="I437">
        <v>748.49</v>
      </c>
      <c r="J437">
        <v>10</v>
      </c>
      <c r="K437">
        <v>0.3</v>
      </c>
      <c r="L437">
        <v>-153.47999999999999</v>
      </c>
    </row>
    <row r="438" spans="1:12" x14ac:dyDescent="0.25">
      <c r="A438" t="s">
        <v>471</v>
      </c>
      <c r="B438" s="1">
        <v>45155</v>
      </c>
      <c r="C438" s="1">
        <v>45159</v>
      </c>
      <c r="D438" t="s">
        <v>28</v>
      </c>
      <c r="E438" t="s">
        <v>20</v>
      </c>
      <c r="F438" t="s">
        <v>21</v>
      </c>
      <c r="G438" t="s">
        <v>29</v>
      </c>
      <c r="H438" t="s">
        <v>45</v>
      </c>
      <c r="I438">
        <v>943.88</v>
      </c>
      <c r="J438">
        <v>4</v>
      </c>
      <c r="K438">
        <v>0.2</v>
      </c>
      <c r="L438">
        <v>-98.25</v>
      </c>
    </row>
    <row r="439" spans="1:12" x14ac:dyDescent="0.25">
      <c r="A439" t="s">
        <v>472</v>
      </c>
      <c r="B439" s="1">
        <v>44980</v>
      </c>
      <c r="C439" s="1">
        <v>44981</v>
      </c>
      <c r="D439" t="s">
        <v>25</v>
      </c>
      <c r="E439" t="s">
        <v>37</v>
      </c>
      <c r="F439" t="s">
        <v>15</v>
      </c>
      <c r="G439" t="s">
        <v>29</v>
      </c>
      <c r="H439" t="s">
        <v>43</v>
      </c>
      <c r="I439">
        <v>834.03</v>
      </c>
      <c r="J439">
        <v>4</v>
      </c>
      <c r="K439">
        <v>0.1</v>
      </c>
      <c r="L439">
        <v>-3.85</v>
      </c>
    </row>
    <row r="440" spans="1:12" x14ac:dyDescent="0.25">
      <c r="A440" t="s">
        <v>473</v>
      </c>
      <c r="B440" s="1">
        <v>44974</v>
      </c>
      <c r="C440" s="1">
        <v>44976</v>
      </c>
      <c r="D440" t="s">
        <v>28</v>
      </c>
      <c r="E440" t="s">
        <v>20</v>
      </c>
      <c r="F440" t="s">
        <v>26</v>
      </c>
      <c r="G440" t="s">
        <v>16</v>
      </c>
      <c r="H440" t="s">
        <v>33</v>
      </c>
      <c r="I440">
        <v>193</v>
      </c>
      <c r="J440">
        <v>7</v>
      </c>
      <c r="K440">
        <v>0.1</v>
      </c>
      <c r="L440">
        <v>-17.43</v>
      </c>
    </row>
    <row r="441" spans="1:12" x14ac:dyDescent="0.25">
      <c r="A441" t="s">
        <v>474</v>
      </c>
      <c r="B441" s="1">
        <v>45134</v>
      </c>
      <c r="C441" s="1">
        <v>45138</v>
      </c>
      <c r="D441" t="s">
        <v>25</v>
      </c>
      <c r="E441" t="s">
        <v>37</v>
      </c>
      <c r="F441" t="s">
        <v>32</v>
      </c>
      <c r="G441" t="s">
        <v>29</v>
      </c>
      <c r="H441" t="s">
        <v>30</v>
      </c>
      <c r="I441">
        <v>958.12</v>
      </c>
      <c r="J441">
        <v>10</v>
      </c>
      <c r="K441">
        <v>0.3</v>
      </c>
      <c r="L441">
        <v>-187.12</v>
      </c>
    </row>
    <row r="442" spans="1:12" x14ac:dyDescent="0.25">
      <c r="A442" t="s">
        <v>475</v>
      </c>
      <c r="B442" s="1">
        <v>45059</v>
      </c>
      <c r="C442" s="1">
        <v>45065</v>
      </c>
      <c r="D442" t="s">
        <v>25</v>
      </c>
      <c r="E442" t="s">
        <v>14</v>
      </c>
      <c r="F442" t="s">
        <v>26</v>
      </c>
      <c r="G442" t="s">
        <v>29</v>
      </c>
      <c r="H442" t="s">
        <v>43</v>
      </c>
      <c r="I442">
        <v>76.69</v>
      </c>
      <c r="J442">
        <v>7</v>
      </c>
      <c r="K442">
        <v>0.2</v>
      </c>
      <c r="L442">
        <v>-12.53</v>
      </c>
    </row>
    <row r="443" spans="1:12" x14ac:dyDescent="0.25">
      <c r="A443" t="s">
        <v>476</v>
      </c>
      <c r="B443" s="1">
        <v>45226</v>
      </c>
      <c r="C443" s="1">
        <v>45231</v>
      </c>
      <c r="D443" t="s">
        <v>19</v>
      </c>
      <c r="E443" t="s">
        <v>14</v>
      </c>
      <c r="F443" t="s">
        <v>32</v>
      </c>
      <c r="G443" t="s">
        <v>29</v>
      </c>
      <c r="H443" t="s">
        <v>30</v>
      </c>
      <c r="I443">
        <v>527.9</v>
      </c>
      <c r="J443">
        <v>10</v>
      </c>
      <c r="K443">
        <v>0.3</v>
      </c>
      <c r="L443">
        <v>-55.94</v>
      </c>
    </row>
    <row r="444" spans="1:12" x14ac:dyDescent="0.25">
      <c r="A444" t="s">
        <v>477</v>
      </c>
      <c r="B444" s="1">
        <v>45189</v>
      </c>
      <c r="C444" s="1">
        <v>45193</v>
      </c>
      <c r="D444" t="s">
        <v>19</v>
      </c>
      <c r="E444" t="s">
        <v>14</v>
      </c>
      <c r="F444" t="s">
        <v>32</v>
      </c>
      <c r="G444" t="s">
        <v>22</v>
      </c>
      <c r="H444" t="s">
        <v>40</v>
      </c>
      <c r="I444">
        <v>190.42</v>
      </c>
      <c r="J444">
        <v>6</v>
      </c>
      <c r="K444">
        <v>0.1</v>
      </c>
      <c r="L444">
        <v>16.07</v>
      </c>
    </row>
    <row r="445" spans="1:12" x14ac:dyDescent="0.25">
      <c r="A445" t="s">
        <v>478</v>
      </c>
      <c r="B445" s="1">
        <v>45017</v>
      </c>
      <c r="C445" s="1">
        <v>45024</v>
      </c>
      <c r="D445" t="s">
        <v>13</v>
      </c>
      <c r="E445" t="s">
        <v>37</v>
      </c>
      <c r="F445" t="s">
        <v>21</v>
      </c>
      <c r="G445" t="s">
        <v>29</v>
      </c>
      <c r="H445" t="s">
        <v>30</v>
      </c>
      <c r="I445">
        <v>501.36</v>
      </c>
      <c r="J445">
        <v>7</v>
      </c>
      <c r="K445">
        <v>0</v>
      </c>
      <c r="L445">
        <v>40.909999999999997</v>
      </c>
    </row>
    <row r="446" spans="1:12" x14ac:dyDescent="0.25">
      <c r="A446" t="s">
        <v>479</v>
      </c>
      <c r="B446" s="1">
        <v>45085</v>
      </c>
      <c r="C446" s="1">
        <v>45087</v>
      </c>
      <c r="D446" t="s">
        <v>19</v>
      </c>
      <c r="E446" t="s">
        <v>14</v>
      </c>
      <c r="F446" t="s">
        <v>21</v>
      </c>
      <c r="G446" t="s">
        <v>16</v>
      </c>
      <c r="H446" t="s">
        <v>38</v>
      </c>
      <c r="I446">
        <v>819.52</v>
      </c>
      <c r="J446">
        <v>7</v>
      </c>
      <c r="K446">
        <v>0.1</v>
      </c>
      <c r="L446">
        <v>23.61</v>
      </c>
    </row>
    <row r="447" spans="1:12" x14ac:dyDescent="0.25">
      <c r="A447" t="s">
        <v>480</v>
      </c>
      <c r="B447" s="1">
        <v>44940</v>
      </c>
      <c r="C447" s="1">
        <v>44945</v>
      </c>
      <c r="D447" t="s">
        <v>13</v>
      </c>
      <c r="E447" t="s">
        <v>20</v>
      </c>
      <c r="F447" t="s">
        <v>32</v>
      </c>
      <c r="G447" t="s">
        <v>16</v>
      </c>
      <c r="H447" t="s">
        <v>38</v>
      </c>
      <c r="I447">
        <v>752.91</v>
      </c>
      <c r="J447">
        <v>1</v>
      </c>
      <c r="K447">
        <v>0</v>
      </c>
      <c r="L447">
        <v>96.8</v>
      </c>
    </row>
    <row r="448" spans="1:12" x14ac:dyDescent="0.25">
      <c r="A448" t="s">
        <v>481</v>
      </c>
      <c r="B448" s="1">
        <v>45077</v>
      </c>
      <c r="C448" s="1">
        <v>45083</v>
      </c>
      <c r="D448" t="s">
        <v>28</v>
      </c>
      <c r="E448" t="s">
        <v>20</v>
      </c>
      <c r="F448" t="s">
        <v>21</v>
      </c>
      <c r="G448" t="s">
        <v>22</v>
      </c>
      <c r="H448" t="s">
        <v>40</v>
      </c>
      <c r="I448">
        <v>588.48</v>
      </c>
      <c r="J448">
        <v>2</v>
      </c>
      <c r="K448">
        <v>0.1</v>
      </c>
      <c r="L448">
        <v>12.02</v>
      </c>
    </row>
    <row r="449" spans="1:12" x14ac:dyDescent="0.25">
      <c r="A449" t="s">
        <v>482</v>
      </c>
      <c r="B449" s="1">
        <v>45003</v>
      </c>
      <c r="C449" s="1">
        <v>45008</v>
      </c>
      <c r="D449" t="s">
        <v>13</v>
      </c>
      <c r="E449" t="s">
        <v>20</v>
      </c>
      <c r="F449" t="s">
        <v>21</v>
      </c>
      <c r="G449" t="s">
        <v>22</v>
      </c>
      <c r="H449" t="s">
        <v>35</v>
      </c>
      <c r="I449">
        <v>403.35</v>
      </c>
      <c r="J449">
        <v>2</v>
      </c>
      <c r="K449">
        <v>0.2</v>
      </c>
      <c r="L449">
        <v>-51.27</v>
      </c>
    </row>
    <row r="450" spans="1:12" x14ac:dyDescent="0.25">
      <c r="A450" t="s">
        <v>483</v>
      </c>
      <c r="B450" s="1">
        <v>44942</v>
      </c>
      <c r="C450" s="1">
        <v>44947</v>
      </c>
      <c r="D450" t="s">
        <v>25</v>
      </c>
      <c r="E450" t="s">
        <v>14</v>
      </c>
      <c r="F450" t="s">
        <v>15</v>
      </c>
      <c r="G450" t="s">
        <v>29</v>
      </c>
      <c r="H450" t="s">
        <v>43</v>
      </c>
      <c r="I450">
        <v>890.97</v>
      </c>
      <c r="J450">
        <v>5</v>
      </c>
      <c r="K450">
        <v>0</v>
      </c>
      <c r="L450">
        <v>128.75</v>
      </c>
    </row>
    <row r="451" spans="1:12" x14ac:dyDescent="0.25">
      <c r="A451" t="s">
        <v>484</v>
      </c>
      <c r="B451" s="1">
        <v>44966</v>
      </c>
      <c r="C451" s="1">
        <v>44970</v>
      </c>
      <c r="D451" t="s">
        <v>25</v>
      </c>
      <c r="E451" t="s">
        <v>20</v>
      </c>
      <c r="F451" t="s">
        <v>26</v>
      </c>
      <c r="G451" t="s">
        <v>16</v>
      </c>
      <c r="H451" t="s">
        <v>17</v>
      </c>
      <c r="I451">
        <v>54.71</v>
      </c>
      <c r="J451">
        <v>1</v>
      </c>
      <c r="K451">
        <v>0.2</v>
      </c>
      <c r="L451">
        <v>20.399999999999999</v>
      </c>
    </row>
    <row r="452" spans="1:12" x14ac:dyDescent="0.25">
      <c r="A452" t="s">
        <v>485</v>
      </c>
      <c r="B452" s="1">
        <v>44962</v>
      </c>
      <c r="C452" s="1">
        <v>44969</v>
      </c>
      <c r="D452" t="s">
        <v>28</v>
      </c>
      <c r="E452" t="s">
        <v>14</v>
      </c>
      <c r="F452" t="s">
        <v>26</v>
      </c>
      <c r="G452" t="s">
        <v>29</v>
      </c>
      <c r="H452" t="s">
        <v>45</v>
      </c>
      <c r="I452">
        <v>559.84</v>
      </c>
      <c r="J452">
        <v>8</v>
      </c>
      <c r="K452">
        <v>0.2</v>
      </c>
      <c r="L452">
        <v>-56.29</v>
      </c>
    </row>
    <row r="453" spans="1:12" x14ac:dyDescent="0.25">
      <c r="A453" t="s">
        <v>486</v>
      </c>
      <c r="B453" s="1">
        <v>45271</v>
      </c>
      <c r="C453" s="1">
        <v>45276</v>
      </c>
      <c r="D453" t="s">
        <v>28</v>
      </c>
      <c r="E453" t="s">
        <v>14</v>
      </c>
      <c r="F453" t="s">
        <v>15</v>
      </c>
      <c r="G453" t="s">
        <v>29</v>
      </c>
      <c r="H453" t="s">
        <v>45</v>
      </c>
      <c r="I453">
        <v>267.60000000000002</v>
      </c>
      <c r="J453">
        <v>2</v>
      </c>
      <c r="K453">
        <v>0.1</v>
      </c>
      <c r="L453">
        <v>-1.82</v>
      </c>
    </row>
    <row r="454" spans="1:12" x14ac:dyDescent="0.25">
      <c r="A454" t="s">
        <v>487</v>
      </c>
      <c r="B454" s="1">
        <v>45233</v>
      </c>
      <c r="C454" s="1">
        <v>45234</v>
      </c>
      <c r="D454" t="s">
        <v>19</v>
      </c>
      <c r="E454" t="s">
        <v>14</v>
      </c>
      <c r="F454" t="s">
        <v>21</v>
      </c>
      <c r="G454" t="s">
        <v>29</v>
      </c>
      <c r="H454" t="s">
        <v>45</v>
      </c>
      <c r="I454">
        <v>728.95</v>
      </c>
      <c r="J454">
        <v>6</v>
      </c>
      <c r="K454">
        <v>0.1</v>
      </c>
      <c r="L454">
        <v>17.28</v>
      </c>
    </row>
    <row r="455" spans="1:12" x14ac:dyDescent="0.25">
      <c r="A455" t="s">
        <v>488</v>
      </c>
      <c r="B455" s="1">
        <v>44978</v>
      </c>
      <c r="C455" s="1">
        <v>44984</v>
      </c>
      <c r="D455" t="s">
        <v>13</v>
      </c>
      <c r="E455" t="s">
        <v>37</v>
      </c>
      <c r="F455" t="s">
        <v>15</v>
      </c>
      <c r="G455" t="s">
        <v>22</v>
      </c>
      <c r="H455" t="s">
        <v>40</v>
      </c>
      <c r="I455">
        <v>962.88</v>
      </c>
      <c r="J455">
        <v>6</v>
      </c>
      <c r="K455">
        <v>0.3</v>
      </c>
      <c r="L455">
        <v>-164.75</v>
      </c>
    </row>
    <row r="456" spans="1:12" x14ac:dyDescent="0.25">
      <c r="A456" t="s">
        <v>489</v>
      </c>
      <c r="B456" s="1">
        <v>45203</v>
      </c>
      <c r="C456" s="1">
        <v>45205</v>
      </c>
      <c r="D456" t="s">
        <v>28</v>
      </c>
      <c r="E456" t="s">
        <v>20</v>
      </c>
      <c r="F456" t="s">
        <v>26</v>
      </c>
      <c r="G456" t="s">
        <v>29</v>
      </c>
      <c r="H456" t="s">
        <v>45</v>
      </c>
      <c r="I456">
        <v>94.61</v>
      </c>
      <c r="J456">
        <v>8</v>
      </c>
      <c r="K456">
        <v>0</v>
      </c>
      <c r="L456">
        <v>-6.23</v>
      </c>
    </row>
    <row r="457" spans="1:12" x14ac:dyDescent="0.25">
      <c r="A457" t="s">
        <v>490</v>
      </c>
      <c r="B457" s="1">
        <v>45187</v>
      </c>
      <c r="C457" s="1">
        <v>45191</v>
      </c>
      <c r="D457" t="s">
        <v>28</v>
      </c>
      <c r="E457" t="s">
        <v>37</v>
      </c>
      <c r="F457" t="s">
        <v>21</v>
      </c>
      <c r="G457" t="s">
        <v>29</v>
      </c>
      <c r="H457" t="s">
        <v>45</v>
      </c>
      <c r="I457">
        <v>885.25</v>
      </c>
      <c r="J457">
        <v>3</v>
      </c>
      <c r="K457">
        <v>0.1</v>
      </c>
      <c r="L457">
        <v>21.47</v>
      </c>
    </row>
    <row r="458" spans="1:12" x14ac:dyDescent="0.25">
      <c r="A458" t="s">
        <v>491</v>
      </c>
      <c r="B458" s="1">
        <v>44944</v>
      </c>
      <c r="C458" s="1">
        <v>44951</v>
      </c>
      <c r="D458" t="s">
        <v>28</v>
      </c>
      <c r="E458" t="s">
        <v>20</v>
      </c>
      <c r="F458" t="s">
        <v>26</v>
      </c>
      <c r="G458" t="s">
        <v>29</v>
      </c>
      <c r="H458" t="s">
        <v>45</v>
      </c>
      <c r="I458">
        <v>828.19</v>
      </c>
      <c r="J458">
        <v>1</v>
      </c>
      <c r="K458">
        <v>0.3</v>
      </c>
      <c r="L458">
        <v>-139.29</v>
      </c>
    </row>
    <row r="459" spans="1:12" x14ac:dyDescent="0.25">
      <c r="A459" t="s">
        <v>492</v>
      </c>
      <c r="B459" s="1">
        <v>45289</v>
      </c>
      <c r="C459" s="1">
        <v>45292</v>
      </c>
      <c r="D459" t="s">
        <v>13</v>
      </c>
      <c r="E459" t="s">
        <v>20</v>
      </c>
      <c r="F459" t="s">
        <v>15</v>
      </c>
      <c r="G459" t="s">
        <v>22</v>
      </c>
      <c r="H459" t="s">
        <v>40</v>
      </c>
      <c r="I459">
        <v>552.9</v>
      </c>
      <c r="J459">
        <v>10</v>
      </c>
      <c r="K459">
        <v>0</v>
      </c>
      <c r="L459">
        <v>53.98</v>
      </c>
    </row>
    <row r="460" spans="1:12" x14ac:dyDescent="0.25">
      <c r="A460" t="s">
        <v>493</v>
      </c>
      <c r="B460" s="1">
        <v>45083</v>
      </c>
      <c r="C460" s="1">
        <v>45089</v>
      </c>
      <c r="D460" t="s">
        <v>28</v>
      </c>
      <c r="E460" t="s">
        <v>20</v>
      </c>
      <c r="F460" t="s">
        <v>32</v>
      </c>
      <c r="G460" t="s">
        <v>22</v>
      </c>
      <c r="H460" t="s">
        <v>23</v>
      </c>
      <c r="I460">
        <v>881.06</v>
      </c>
      <c r="J460">
        <v>2</v>
      </c>
      <c r="K460">
        <v>0.2</v>
      </c>
      <c r="L460">
        <v>-47.33</v>
      </c>
    </row>
    <row r="461" spans="1:12" x14ac:dyDescent="0.25">
      <c r="A461" t="s">
        <v>494</v>
      </c>
      <c r="B461" s="1">
        <v>45099</v>
      </c>
      <c r="C461" s="1">
        <v>45104</v>
      </c>
      <c r="D461" t="s">
        <v>19</v>
      </c>
      <c r="E461" t="s">
        <v>14</v>
      </c>
      <c r="F461" t="s">
        <v>15</v>
      </c>
      <c r="G461" t="s">
        <v>22</v>
      </c>
      <c r="H461" t="s">
        <v>40</v>
      </c>
      <c r="I461">
        <v>260.38</v>
      </c>
      <c r="J461">
        <v>10</v>
      </c>
      <c r="K461">
        <v>0.2</v>
      </c>
      <c r="L461">
        <v>14.67</v>
      </c>
    </row>
    <row r="462" spans="1:12" x14ac:dyDescent="0.25">
      <c r="A462" t="s">
        <v>495</v>
      </c>
      <c r="B462" s="1">
        <v>45220</v>
      </c>
      <c r="C462" s="1">
        <v>45222</v>
      </c>
      <c r="D462" t="s">
        <v>19</v>
      </c>
      <c r="E462" t="s">
        <v>20</v>
      </c>
      <c r="F462" t="s">
        <v>26</v>
      </c>
      <c r="G462" t="s">
        <v>29</v>
      </c>
      <c r="H462" t="s">
        <v>45</v>
      </c>
      <c r="I462">
        <v>714.2</v>
      </c>
      <c r="J462">
        <v>7</v>
      </c>
      <c r="K462">
        <v>0.2</v>
      </c>
      <c r="L462">
        <v>-74.709999999999994</v>
      </c>
    </row>
    <row r="463" spans="1:12" x14ac:dyDescent="0.25">
      <c r="A463" t="s">
        <v>496</v>
      </c>
      <c r="B463" s="1">
        <v>45056</v>
      </c>
      <c r="C463" s="1">
        <v>45057</v>
      </c>
      <c r="D463" t="s">
        <v>25</v>
      </c>
      <c r="E463" t="s">
        <v>14</v>
      </c>
      <c r="F463" t="s">
        <v>15</v>
      </c>
      <c r="G463" t="s">
        <v>16</v>
      </c>
      <c r="H463" t="s">
        <v>33</v>
      </c>
      <c r="I463">
        <v>931.49</v>
      </c>
      <c r="J463">
        <v>4</v>
      </c>
      <c r="K463">
        <v>0.3</v>
      </c>
      <c r="L463">
        <v>-163</v>
      </c>
    </row>
    <row r="464" spans="1:12" x14ac:dyDescent="0.25">
      <c r="A464" t="s">
        <v>497</v>
      </c>
      <c r="B464" s="1">
        <v>44944</v>
      </c>
      <c r="C464" s="1">
        <v>44947</v>
      </c>
      <c r="D464" t="s">
        <v>25</v>
      </c>
      <c r="E464" t="s">
        <v>37</v>
      </c>
      <c r="F464" t="s">
        <v>21</v>
      </c>
      <c r="G464" t="s">
        <v>29</v>
      </c>
      <c r="H464" t="s">
        <v>30</v>
      </c>
      <c r="I464">
        <v>757.66</v>
      </c>
      <c r="J464">
        <v>2</v>
      </c>
      <c r="K464">
        <v>0.2</v>
      </c>
      <c r="L464">
        <v>-34.049999999999997</v>
      </c>
    </row>
    <row r="465" spans="1:12" x14ac:dyDescent="0.25">
      <c r="A465" t="s">
        <v>498</v>
      </c>
      <c r="B465" s="1">
        <v>44997</v>
      </c>
      <c r="C465" s="1">
        <v>45004</v>
      </c>
      <c r="D465" t="s">
        <v>25</v>
      </c>
      <c r="E465" t="s">
        <v>14</v>
      </c>
      <c r="F465" t="s">
        <v>21</v>
      </c>
      <c r="G465" t="s">
        <v>29</v>
      </c>
      <c r="H465" t="s">
        <v>30</v>
      </c>
      <c r="I465">
        <v>962.09</v>
      </c>
      <c r="J465">
        <v>3</v>
      </c>
      <c r="K465">
        <v>0</v>
      </c>
      <c r="L465">
        <v>78.260000000000005</v>
      </c>
    </row>
    <row r="466" spans="1:12" x14ac:dyDescent="0.25">
      <c r="A466" t="s">
        <v>499</v>
      </c>
      <c r="B466" s="1">
        <v>45025</v>
      </c>
      <c r="C466" s="1">
        <v>45028</v>
      </c>
      <c r="D466" t="s">
        <v>13</v>
      </c>
      <c r="E466" t="s">
        <v>20</v>
      </c>
      <c r="F466" t="s">
        <v>21</v>
      </c>
      <c r="G466" t="s">
        <v>16</v>
      </c>
      <c r="H466" t="s">
        <v>33</v>
      </c>
      <c r="I466">
        <v>829.3</v>
      </c>
      <c r="J466">
        <v>1</v>
      </c>
      <c r="K466">
        <v>0.1</v>
      </c>
      <c r="L466">
        <v>37.4</v>
      </c>
    </row>
    <row r="467" spans="1:12" x14ac:dyDescent="0.25">
      <c r="A467" t="s">
        <v>500</v>
      </c>
      <c r="B467" s="1">
        <v>45053</v>
      </c>
      <c r="C467" s="1">
        <v>45054</v>
      </c>
      <c r="D467" t="s">
        <v>13</v>
      </c>
      <c r="E467" t="s">
        <v>37</v>
      </c>
      <c r="F467" t="s">
        <v>26</v>
      </c>
      <c r="G467" t="s">
        <v>16</v>
      </c>
      <c r="H467" t="s">
        <v>38</v>
      </c>
      <c r="I467">
        <v>244.05</v>
      </c>
      <c r="J467">
        <v>7</v>
      </c>
      <c r="K467">
        <v>0.2</v>
      </c>
      <c r="L467">
        <v>-33.15</v>
      </c>
    </row>
    <row r="468" spans="1:12" x14ac:dyDescent="0.25">
      <c r="A468" t="s">
        <v>501</v>
      </c>
      <c r="B468" s="1">
        <v>45279</v>
      </c>
      <c r="C468" s="1">
        <v>45281</v>
      </c>
      <c r="D468" t="s">
        <v>13</v>
      </c>
      <c r="E468" t="s">
        <v>20</v>
      </c>
      <c r="F468" t="s">
        <v>26</v>
      </c>
      <c r="G468" t="s">
        <v>16</v>
      </c>
      <c r="H468" t="s">
        <v>33</v>
      </c>
      <c r="I468">
        <v>821.61</v>
      </c>
      <c r="J468">
        <v>8</v>
      </c>
      <c r="K468">
        <v>0.1</v>
      </c>
      <c r="L468">
        <v>32.96</v>
      </c>
    </row>
    <row r="469" spans="1:12" x14ac:dyDescent="0.25">
      <c r="A469" t="s">
        <v>502</v>
      </c>
      <c r="B469" s="1">
        <v>44944</v>
      </c>
      <c r="C469" s="1">
        <v>44946</v>
      </c>
      <c r="D469" t="s">
        <v>25</v>
      </c>
      <c r="E469" t="s">
        <v>37</v>
      </c>
      <c r="F469" t="s">
        <v>15</v>
      </c>
      <c r="G469" t="s">
        <v>16</v>
      </c>
      <c r="H469" t="s">
        <v>17</v>
      </c>
      <c r="I469">
        <v>273.51</v>
      </c>
      <c r="J469">
        <v>3</v>
      </c>
      <c r="K469">
        <v>0.1</v>
      </c>
      <c r="L469">
        <v>0.09</v>
      </c>
    </row>
    <row r="470" spans="1:12" x14ac:dyDescent="0.25">
      <c r="A470" t="s">
        <v>503</v>
      </c>
      <c r="B470" s="1">
        <v>45163</v>
      </c>
      <c r="C470" s="1">
        <v>45166</v>
      </c>
      <c r="D470" t="s">
        <v>13</v>
      </c>
      <c r="E470" t="s">
        <v>37</v>
      </c>
      <c r="F470" t="s">
        <v>15</v>
      </c>
      <c r="G470" t="s">
        <v>29</v>
      </c>
      <c r="H470" t="s">
        <v>43</v>
      </c>
      <c r="I470">
        <v>624.59</v>
      </c>
      <c r="J470">
        <v>3</v>
      </c>
      <c r="K470">
        <v>0</v>
      </c>
      <c r="L470">
        <v>81.650000000000006</v>
      </c>
    </row>
    <row r="471" spans="1:12" x14ac:dyDescent="0.25">
      <c r="A471" t="s">
        <v>504</v>
      </c>
      <c r="B471" s="1">
        <v>44992</v>
      </c>
      <c r="C471" s="1">
        <v>44995</v>
      </c>
      <c r="D471" t="s">
        <v>28</v>
      </c>
      <c r="E471" t="s">
        <v>14</v>
      </c>
      <c r="F471" t="s">
        <v>32</v>
      </c>
      <c r="G471" t="s">
        <v>29</v>
      </c>
      <c r="H471" t="s">
        <v>30</v>
      </c>
      <c r="I471">
        <v>133.53</v>
      </c>
      <c r="J471">
        <v>4</v>
      </c>
      <c r="K471">
        <v>0.1</v>
      </c>
      <c r="L471">
        <v>24.38</v>
      </c>
    </row>
    <row r="472" spans="1:12" x14ac:dyDescent="0.25">
      <c r="A472" t="s">
        <v>505</v>
      </c>
      <c r="B472" s="1">
        <v>45084</v>
      </c>
      <c r="C472" s="1">
        <v>45091</v>
      </c>
      <c r="D472" t="s">
        <v>25</v>
      </c>
      <c r="E472" t="s">
        <v>20</v>
      </c>
      <c r="F472" t="s">
        <v>32</v>
      </c>
      <c r="G472" t="s">
        <v>29</v>
      </c>
      <c r="H472" t="s">
        <v>45</v>
      </c>
      <c r="I472">
        <v>549.19000000000005</v>
      </c>
      <c r="J472">
        <v>8</v>
      </c>
      <c r="K472">
        <v>0.2</v>
      </c>
      <c r="L472">
        <v>-65.930000000000007</v>
      </c>
    </row>
    <row r="473" spans="1:12" x14ac:dyDescent="0.25">
      <c r="A473" t="s">
        <v>506</v>
      </c>
      <c r="B473" s="1">
        <v>45137</v>
      </c>
      <c r="C473" s="1">
        <v>45142</v>
      </c>
      <c r="D473" t="s">
        <v>13</v>
      </c>
      <c r="E473" t="s">
        <v>20</v>
      </c>
      <c r="F473" t="s">
        <v>26</v>
      </c>
      <c r="G473" t="s">
        <v>22</v>
      </c>
      <c r="H473" t="s">
        <v>40</v>
      </c>
      <c r="I473">
        <v>297.68</v>
      </c>
      <c r="J473">
        <v>1</v>
      </c>
      <c r="K473">
        <v>0.2</v>
      </c>
      <c r="L473">
        <v>-11.88</v>
      </c>
    </row>
    <row r="474" spans="1:12" x14ac:dyDescent="0.25">
      <c r="A474" t="s">
        <v>507</v>
      </c>
      <c r="B474" s="1">
        <v>45152</v>
      </c>
      <c r="C474" s="1">
        <v>45155</v>
      </c>
      <c r="D474" t="s">
        <v>19</v>
      </c>
      <c r="E474" t="s">
        <v>37</v>
      </c>
      <c r="F474" t="s">
        <v>15</v>
      </c>
      <c r="G474" t="s">
        <v>29</v>
      </c>
      <c r="H474" t="s">
        <v>45</v>
      </c>
      <c r="I474">
        <v>963.73</v>
      </c>
      <c r="J474">
        <v>2</v>
      </c>
      <c r="K474">
        <v>0.2</v>
      </c>
      <c r="L474">
        <v>-88.92</v>
      </c>
    </row>
    <row r="475" spans="1:12" x14ac:dyDescent="0.25">
      <c r="A475" t="s">
        <v>508</v>
      </c>
      <c r="B475" s="1">
        <v>45152</v>
      </c>
      <c r="C475" s="1">
        <v>45155</v>
      </c>
      <c r="D475" t="s">
        <v>25</v>
      </c>
      <c r="E475" t="s">
        <v>37</v>
      </c>
      <c r="F475" t="s">
        <v>32</v>
      </c>
      <c r="G475" t="s">
        <v>29</v>
      </c>
      <c r="H475" t="s">
        <v>45</v>
      </c>
      <c r="I475">
        <v>195.91</v>
      </c>
      <c r="J475">
        <v>4</v>
      </c>
      <c r="K475">
        <v>0</v>
      </c>
      <c r="L475">
        <v>6.77</v>
      </c>
    </row>
    <row r="476" spans="1:12" x14ac:dyDescent="0.25">
      <c r="A476" t="s">
        <v>509</v>
      </c>
      <c r="B476" s="1">
        <v>45266</v>
      </c>
      <c r="C476" s="1">
        <v>45270</v>
      </c>
      <c r="D476" t="s">
        <v>25</v>
      </c>
      <c r="E476" t="s">
        <v>20</v>
      </c>
      <c r="F476" t="s">
        <v>15</v>
      </c>
      <c r="G476" t="s">
        <v>16</v>
      </c>
      <c r="H476" t="s">
        <v>33</v>
      </c>
      <c r="I476">
        <v>938.48</v>
      </c>
      <c r="J476">
        <v>2</v>
      </c>
      <c r="K476">
        <v>0.3</v>
      </c>
      <c r="L476">
        <v>-153.74</v>
      </c>
    </row>
    <row r="477" spans="1:12" x14ac:dyDescent="0.25">
      <c r="A477" t="s">
        <v>510</v>
      </c>
      <c r="B477" s="1">
        <v>45086</v>
      </c>
      <c r="C477" s="1">
        <v>45091</v>
      </c>
      <c r="D477" t="s">
        <v>28</v>
      </c>
      <c r="E477" t="s">
        <v>20</v>
      </c>
      <c r="F477" t="s">
        <v>26</v>
      </c>
      <c r="G477" t="s">
        <v>29</v>
      </c>
      <c r="H477" t="s">
        <v>30</v>
      </c>
      <c r="I477">
        <v>948.35</v>
      </c>
      <c r="J477">
        <v>4</v>
      </c>
      <c r="K477">
        <v>0.3</v>
      </c>
      <c r="L477">
        <v>-160.1</v>
      </c>
    </row>
    <row r="478" spans="1:12" x14ac:dyDescent="0.25">
      <c r="A478" t="s">
        <v>511</v>
      </c>
      <c r="B478" s="1">
        <v>45183</v>
      </c>
      <c r="C478" s="1">
        <v>45186</v>
      </c>
      <c r="D478" t="s">
        <v>25</v>
      </c>
      <c r="E478" t="s">
        <v>37</v>
      </c>
      <c r="F478" t="s">
        <v>21</v>
      </c>
      <c r="G478" t="s">
        <v>16</v>
      </c>
      <c r="H478" t="s">
        <v>33</v>
      </c>
      <c r="I478">
        <v>86</v>
      </c>
      <c r="J478">
        <v>1</v>
      </c>
      <c r="K478">
        <v>0.1</v>
      </c>
      <c r="L478">
        <v>13.15</v>
      </c>
    </row>
    <row r="479" spans="1:12" x14ac:dyDescent="0.25">
      <c r="A479" t="s">
        <v>512</v>
      </c>
      <c r="B479" s="1">
        <v>45223</v>
      </c>
      <c r="C479" s="1">
        <v>45224</v>
      </c>
      <c r="D479" t="s">
        <v>19</v>
      </c>
      <c r="E479" t="s">
        <v>20</v>
      </c>
      <c r="F479" t="s">
        <v>15</v>
      </c>
      <c r="G479" t="s">
        <v>29</v>
      </c>
      <c r="H479" t="s">
        <v>30</v>
      </c>
      <c r="I479">
        <v>76.760000000000005</v>
      </c>
      <c r="J479">
        <v>1</v>
      </c>
      <c r="K479">
        <v>0.3</v>
      </c>
      <c r="L479">
        <v>-32.15</v>
      </c>
    </row>
    <row r="480" spans="1:12" x14ac:dyDescent="0.25">
      <c r="A480" t="s">
        <v>513</v>
      </c>
      <c r="B480" s="1">
        <v>45185</v>
      </c>
      <c r="C480" s="1">
        <v>45192</v>
      </c>
      <c r="D480" t="s">
        <v>19</v>
      </c>
      <c r="E480" t="s">
        <v>14</v>
      </c>
      <c r="F480" t="s">
        <v>26</v>
      </c>
      <c r="G480" t="s">
        <v>29</v>
      </c>
      <c r="H480" t="s">
        <v>43</v>
      </c>
      <c r="I480">
        <v>874.11</v>
      </c>
      <c r="J480">
        <v>9</v>
      </c>
      <c r="K480">
        <v>0.3</v>
      </c>
      <c r="L480">
        <v>-147.5</v>
      </c>
    </row>
    <row r="481" spans="1:12" x14ac:dyDescent="0.25">
      <c r="A481" t="s">
        <v>514</v>
      </c>
      <c r="B481" s="1">
        <v>44959</v>
      </c>
      <c r="C481" s="1">
        <v>44964</v>
      </c>
      <c r="D481" t="s">
        <v>28</v>
      </c>
      <c r="E481" t="s">
        <v>37</v>
      </c>
      <c r="F481" t="s">
        <v>32</v>
      </c>
      <c r="G481" t="s">
        <v>16</v>
      </c>
      <c r="H481" t="s">
        <v>33</v>
      </c>
      <c r="I481">
        <v>457.04</v>
      </c>
      <c r="J481">
        <v>8</v>
      </c>
      <c r="K481">
        <v>0.2</v>
      </c>
      <c r="L481">
        <v>-56.6</v>
      </c>
    </row>
    <row r="482" spans="1:12" x14ac:dyDescent="0.25">
      <c r="A482" t="s">
        <v>515</v>
      </c>
      <c r="B482" s="1">
        <v>44934</v>
      </c>
      <c r="C482" s="1">
        <v>44936</v>
      </c>
      <c r="D482" t="s">
        <v>28</v>
      </c>
      <c r="E482" t="s">
        <v>14</v>
      </c>
      <c r="F482" t="s">
        <v>15</v>
      </c>
      <c r="G482" t="s">
        <v>29</v>
      </c>
      <c r="H482" t="s">
        <v>43</v>
      </c>
      <c r="I482">
        <v>763.1</v>
      </c>
      <c r="J482">
        <v>10</v>
      </c>
      <c r="K482">
        <v>0.2</v>
      </c>
      <c r="L482">
        <v>-91.72</v>
      </c>
    </row>
    <row r="483" spans="1:12" x14ac:dyDescent="0.25">
      <c r="A483" t="s">
        <v>516</v>
      </c>
      <c r="B483" s="1">
        <v>45061</v>
      </c>
      <c r="C483" s="1">
        <v>45067</v>
      </c>
      <c r="D483" t="s">
        <v>19</v>
      </c>
      <c r="E483" t="s">
        <v>20</v>
      </c>
      <c r="F483" t="s">
        <v>21</v>
      </c>
      <c r="G483" t="s">
        <v>22</v>
      </c>
      <c r="H483" t="s">
        <v>40</v>
      </c>
      <c r="I483">
        <v>825.08</v>
      </c>
      <c r="J483">
        <v>6</v>
      </c>
      <c r="K483">
        <v>0.2</v>
      </c>
      <c r="L483">
        <v>-68.3</v>
      </c>
    </row>
    <row r="484" spans="1:12" x14ac:dyDescent="0.25">
      <c r="A484" t="s">
        <v>517</v>
      </c>
      <c r="B484" s="1">
        <v>45149</v>
      </c>
      <c r="C484" s="1">
        <v>45153</v>
      </c>
      <c r="D484" t="s">
        <v>19</v>
      </c>
      <c r="E484" t="s">
        <v>14</v>
      </c>
      <c r="F484" t="s">
        <v>26</v>
      </c>
      <c r="G484" t="s">
        <v>22</v>
      </c>
      <c r="H484" t="s">
        <v>23</v>
      </c>
      <c r="I484">
        <v>775</v>
      </c>
      <c r="J484">
        <v>8</v>
      </c>
      <c r="K484">
        <v>0.1</v>
      </c>
      <c r="L484">
        <v>-19.93</v>
      </c>
    </row>
    <row r="485" spans="1:12" x14ac:dyDescent="0.25">
      <c r="A485" t="s">
        <v>518</v>
      </c>
      <c r="B485" s="1">
        <v>45113</v>
      </c>
      <c r="C485" s="1">
        <v>45118</v>
      </c>
      <c r="D485" t="s">
        <v>28</v>
      </c>
      <c r="E485" t="s">
        <v>37</v>
      </c>
      <c r="F485" t="s">
        <v>26</v>
      </c>
      <c r="G485" t="s">
        <v>16</v>
      </c>
      <c r="H485" t="s">
        <v>17</v>
      </c>
      <c r="I485">
        <v>175.76</v>
      </c>
      <c r="J485">
        <v>7</v>
      </c>
      <c r="K485">
        <v>0.1</v>
      </c>
      <c r="L485">
        <v>49.8</v>
      </c>
    </row>
    <row r="486" spans="1:12" x14ac:dyDescent="0.25">
      <c r="A486" t="s">
        <v>519</v>
      </c>
      <c r="B486" s="1">
        <v>44983</v>
      </c>
      <c r="C486" s="1">
        <v>44988</v>
      </c>
      <c r="D486" t="s">
        <v>28</v>
      </c>
      <c r="E486" t="s">
        <v>20</v>
      </c>
      <c r="F486" t="s">
        <v>32</v>
      </c>
      <c r="G486" t="s">
        <v>29</v>
      </c>
      <c r="H486" t="s">
        <v>45</v>
      </c>
      <c r="I486">
        <v>437.66</v>
      </c>
      <c r="J486">
        <v>7</v>
      </c>
      <c r="K486">
        <v>0</v>
      </c>
      <c r="L486">
        <v>83.56</v>
      </c>
    </row>
    <row r="487" spans="1:12" x14ac:dyDescent="0.25">
      <c r="A487" t="s">
        <v>520</v>
      </c>
      <c r="B487" s="1">
        <v>45190</v>
      </c>
      <c r="C487" s="1">
        <v>45191</v>
      </c>
      <c r="D487" t="s">
        <v>19</v>
      </c>
      <c r="E487" t="s">
        <v>14</v>
      </c>
      <c r="F487" t="s">
        <v>21</v>
      </c>
      <c r="G487" t="s">
        <v>22</v>
      </c>
      <c r="H487" t="s">
        <v>40</v>
      </c>
      <c r="I487">
        <v>536.48</v>
      </c>
      <c r="J487">
        <v>5</v>
      </c>
      <c r="K487">
        <v>0</v>
      </c>
      <c r="L487">
        <v>82.21</v>
      </c>
    </row>
    <row r="488" spans="1:12" x14ac:dyDescent="0.25">
      <c r="A488" t="s">
        <v>521</v>
      </c>
      <c r="B488" s="1">
        <v>44992</v>
      </c>
      <c r="C488" s="1">
        <v>44999</v>
      </c>
      <c r="D488" t="s">
        <v>19</v>
      </c>
      <c r="E488" t="s">
        <v>37</v>
      </c>
      <c r="F488" t="s">
        <v>26</v>
      </c>
      <c r="G488" t="s">
        <v>16</v>
      </c>
      <c r="H488" t="s">
        <v>17</v>
      </c>
      <c r="I488">
        <v>236.35</v>
      </c>
      <c r="J488">
        <v>5</v>
      </c>
      <c r="K488">
        <v>0.1</v>
      </c>
      <c r="L488">
        <v>34.1</v>
      </c>
    </row>
    <row r="489" spans="1:12" x14ac:dyDescent="0.25">
      <c r="A489" t="s">
        <v>522</v>
      </c>
      <c r="B489" s="1">
        <v>44963</v>
      </c>
      <c r="C489" s="1">
        <v>44966</v>
      </c>
      <c r="D489" t="s">
        <v>13</v>
      </c>
      <c r="E489" t="s">
        <v>14</v>
      </c>
      <c r="F489" t="s">
        <v>21</v>
      </c>
      <c r="G489" t="s">
        <v>16</v>
      </c>
      <c r="H489" t="s">
        <v>33</v>
      </c>
      <c r="I489">
        <v>245.45</v>
      </c>
      <c r="J489">
        <v>6</v>
      </c>
      <c r="K489">
        <v>0.2</v>
      </c>
      <c r="L489">
        <v>-25.42</v>
      </c>
    </row>
    <row r="490" spans="1:12" x14ac:dyDescent="0.25">
      <c r="A490" t="s">
        <v>523</v>
      </c>
      <c r="B490" s="1">
        <v>45101</v>
      </c>
      <c r="C490" s="1">
        <v>45103</v>
      </c>
      <c r="D490" t="s">
        <v>25</v>
      </c>
      <c r="E490" t="s">
        <v>14</v>
      </c>
      <c r="F490" t="s">
        <v>32</v>
      </c>
      <c r="G490" t="s">
        <v>29</v>
      </c>
      <c r="H490" t="s">
        <v>45</v>
      </c>
      <c r="I490">
        <v>951.85</v>
      </c>
      <c r="J490">
        <v>7</v>
      </c>
      <c r="K490">
        <v>0.3</v>
      </c>
      <c r="L490">
        <v>-208.18</v>
      </c>
    </row>
    <row r="491" spans="1:12" x14ac:dyDescent="0.25">
      <c r="A491" t="s">
        <v>524</v>
      </c>
      <c r="B491" s="1">
        <v>45063</v>
      </c>
      <c r="C491" s="1">
        <v>45065</v>
      </c>
      <c r="D491" t="s">
        <v>19</v>
      </c>
      <c r="E491" t="s">
        <v>20</v>
      </c>
      <c r="F491" t="s">
        <v>32</v>
      </c>
      <c r="G491" t="s">
        <v>16</v>
      </c>
      <c r="H491" t="s">
        <v>17</v>
      </c>
      <c r="I491">
        <v>736.64</v>
      </c>
      <c r="J491">
        <v>8</v>
      </c>
      <c r="K491">
        <v>0.2</v>
      </c>
      <c r="L491">
        <v>-64.28</v>
      </c>
    </row>
    <row r="492" spans="1:12" x14ac:dyDescent="0.25">
      <c r="A492" t="s">
        <v>525</v>
      </c>
      <c r="B492" s="1">
        <v>45247</v>
      </c>
      <c r="C492" s="1">
        <v>45251</v>
      </c>
      <c r="D492" t="s">
        <v>19</v>
      </c>
      <c r="E492" t="s">
        <v>37</v>
      </c>
      <c r="F492" t="s">
        <v>32</v>
      </c>
      <c r="G492" t="s">
        <v>22</v>
      </c>
      <c r="H492" t="s">
        <v>23</v>
      </c>
      <c r="I492">
        <v>645.76</v>
      </c>
      <c r="J492">
        <v>6</v>
      </c>
      <c r="K492">
        <v>0.1</v>
      </c>
      <c r="L492">
        <v>33.21</v>
      </c>
    </row>
    <row r="493" spans="1:12" x14ac:dyDescent="0.25">
      <c r="A493" t="s">
        <v>526</v>
      </c>
      <c r="B493" s="1">
        <v>45144</v>
      </c>
      <c r="C493" s="1">
        <v>45148</v>
      </c>
      <c r="D493" t="s">
        <v>25</v>
      </c>
      <c r="E493" t="s">
        <v>20</v>
      </c>
      <c r="F493" t="s">
        <v>32</v>
      </c>
      <c r="G493" t="s">
        <v>16</v>
      </c>
      <c r="H493" t="s">
        <v>33</v>
      </c>
      <c r="I493">
        <v>453.45</v>
      </c>
      <c r="J493">
        <v>7</v>
      </c>
      <c r="K493">
        <v>0.2</v>
      </c>
      <c r="L493">
        <v>-36.69</v>
      </c>
    </row>
    <row r="494" spans="1:12" x14ac:dyDescent="0.25">
      <c r="A494" t="s">
        <v>527</v>
      </c>
      <c r="B494" s="1">
        <v>45183</v>
      </c>
      <c r="C494" s="1">
        <v>45186</v>
      </c>
      <c r="D494" t="s">
        <v>19</v>
      </c>
      <c r="E494" t="s">
        <v>14</v>
      </c>
      <c r="F494" t="s">
        <v>26</v>
      </c>
      <c r="G494" t="s">
        <v>29</v>
      </c>
      <c r="H494" t="s">
        <v>30</v>
      </c>
      <c r="I494">
        <v>896.22</v>
      </c>
      <c r="J494">
        <v>10</v>
      </c>
      <c r="K494">
        <v>0.2</v>
      </c>
      <c r="L494">
        <v>-57.41</v>
      </c>
    </row>
    <row r="495" spans="1:12" x14ac:dyDescent="0.25">
      <c r="A495" t="s">
        <v>528</v>
      </c>
      <c r="B495" s="1">
        <v>45276</v>
      </c>
      <c r="C495" s="1">
        <v>45279</v>
      </c>
      <c r="D495" t="s">
        <v>19</v>
      </c>
      <c r="E495" t="s">
        <v>37</v>
      </c>
      <c r="F495" t="s">
        <v>32</v>
      </c>
      <c r="G495" t="s">
        <v>22</v>
      </c>
      <c r="H495" t="s">
        <v>40</v>
      </c>
      <c r="I495">
        <v>216.35</v>
      </c>
      <c r="J495">
        <v>3</v>
      </c>
      <c r="K495">
        <v>0</v>
      </c>
      <c r="L495">
        <v>47.25</v>
      </c>
    </row>
    <row r="496" spans="1:12" x14ac:dyDescent="0.25">
      <c r="A496" t="s">
        <v>529</v>
      </c>
      <c r="B496" s="1">
        <v>45004</v>
      </c>
      <c r="C496" s="1">
        <v>45009</v>
      </c>
      <c r="D496" t="s">
        <v>13</v>
      </c>
      <c r="E496" t="s">
        <v>37</v>
      </c>
      <c r="F496" t="s">
        <v>21</v>
      </c>
      <c r="G496" t="s">
        <v>22</v>
      </c>
      <c r="H496" t="s">
        <v>35</v>
      </c>
      <c r="I496">
        <v>381.16</v>
      </c>
      <c r="J496">
        <v>7</v>
      </c>
      <c r="K496">
        <v>0.2</v>
      </c>
      <c r="L496">
        <v>-25.11</v>
      </c>
    </row>
    <row r="497" spans="1:12" x14ac:dyDescent="0.25">
      <c r="A497" t="s">
        <v>530</v>
      </c>
      <c r="B497" s="1">
        <v>45175</v>
      </c>
      <c r="C497" s="1">
        <v>45182</v>
      </c>
      <c r="D497" t="s">
        <v>25</v>
      </c>
      <c r="E497" t="s">
        <v>37</v>
      </c>
      <c r="F497" t="s">
        <v>15</v>
      </c>
      <c r="G497" t="s">
        <v>22</v>
      </c>
      <c r="H497" t="s">
        <v>23</v>
      </c>
      <c r="I497">
        <v>552.37</v>
      </c>
      <c r="J497">
        <v>1</v>
      </c>
      <c r="K497">
        <v>0.3</v>
      </c>
      <c r="L497">
        <v>-117.49</v>
      </c>
    </row>
    <row r="498" spans="1:12" x14ac:dyDescent="0.25">
      <c r="A498" t="s">
        <v>531</v>
      </c>
      <c r="B498" s="1">
        <v>45241</v>
      </c>
      <c r="C498" s="1">
        <v>45245</v>
      </c>
      <c r="D498" t="s">
        <v>28</v>
      </c>
      <c r="E498" t="s">
        <v>20</v>
      </c>
      <c r="F498" t="s">
        <v>32</v>
      </c>
      <c r="G498" t="s">
        <v>29</v>
      </c>
      <c r="H498" t="s">
        <v>30</v>
      </c>
      <c r="I498">
        <v>871.25</v>
      </c>
      <c r="J498">
        <v>9</v>
      </c>
      <c r="K498">
        <v>0</v>
      </c>
      <c r="L498">
        <v>77.88</v>
      </c>
    </row>
    <row r="499" spans="1:12" x14ac:dyDescent="0.25">
      <c r="A499" t="s">
        <v>532</v>
      </c>
      <c r="B499" s="1">
        <v>45211</v>
      </c>
      <c r="C499" s="1">
        <v>45217</v>
      </c>
      <c r="D499" t="s">
        <v>13</v>
      </c>
      <c r="E499" t="s">
        <v>37</v>
      </c>
      <c r="F499" t="s">
        <v>26</v>
      </c>
      <c r="G499" t="s">
        <v>16</v>
      </c>
      <c r="H499" t="s">
        <v>17</v>
      </c>
      <c r="I499">
        <v>464.62</v>
      </c>
      <c r="J499">
        <v>7</v>
      </c>
      <c r="K499">
        <v>0.1</v>
      </c>
      <c r="L499">
        <v>33.270000000000003</v>
      </c>
    </row>
    <row r="500" spans="1:12" x14ac:dyDescent="0.25">
      <c r="A500" t="s">
        <v>533</v>
      </c>
      <c r="B500" s="1">
        <v>45139</v>
      </c>
      <c r="C500" s="1">
        <v>45145</v>
      </c>
      <c r="D500" t="s">
        <v>19</v>
      </c>
      <c r="E500" t="s">
        <v>14</v>
      </c>
      <c r="F500" t="s">
        <v>15</v>
      </c>
      <c r="G500" t="s">
        <v>29</v>
      </c>
      <c r="H500" t="s">
        <v>30</v>
      </c>
      <c r="I500">
        <v>633.70000000000005</v>
      </c>
      <c r="J500">
        <v>2</v>
      </c>
      <c r="K500">
        <v>0.3</v>
      </c>
      <c r="L500">
        <v>-126.15</v>
      </c>
    </row>
    <row r="501" spans="1:12" x14ac:dyDescent="0.25">
      <c r="A501" t="s">
        <v>534</v>
      </c>
      <c r="B501" s="1">
        <v>45232</v>
      </c>
      <c r="C501" s="1">
        <v>45237</v>
      </c>
      <c r="D501" t="s">
        <v>13</v>
      </c>
      <c r="E501" t="s">
        <v>20</v>
      </c>
      <c r="F501" t="s">
        <v>32</v>
      </c>
      <c r="G501" t="s">
        <v>22</v>
      </c>
      <c r="H501" t="s">
        <v>23</v>
      </c>
      <c r="I501">
        <v>913.6</v>
      </c>
      <c r="J501">
        <v>5</v>
      </c>
      <c r="K501">
        <v>0.1</v>
      </c>
      <c r="L501">
        <v>23.17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B502"/>
  <sheetViews>
    <sheetView workbookViewId="0">
      <selection activeCell="N7" sqref="N7"/>
    </sheetView>
  </sheetViews>
  <sheetFormatPr defaultRowHeight="15" x14ac:dyDescent="0.25"/>
  <cols>
    <col min="1" max="1" width="11" style="4" customWidth="1"/>
    <col min="2" max="2" width="11.5703125" style="1" customWidth="1"/>
    <col min="3" max="3" width="13" style="1" customWidth="1"/>
    <col min="4" max="4" width="13.140625" style="13" customWidth="1"/>
    <col min="5" max="5" width="14.28515625" style="13" customWidth="1"/>
    <col min="6" max="6" width="8" style="13" customWidth="1"/>
    <col min="7" max="7" width="13.85546875" style="7" hidden="1" customWidth="1"/>
    <col min="8" max="8" width="13.85546875" style="7" customWidth="1"/>
    <col min="9" max="9" width="19.42578125" style="7" customWidth="1"/>
    <col min="10" max="10" width="14.5703125" style="7" customWidth="1"/>
    <col min="11" max="11" width="15" customWidth="1"/>
    <col min="12" max="12" width="9.140625" style="9"/>
    <col min="13" max="13" width="10.85546875" style="4" customWidth="1"/>
    <col min="14" max="14" width="10.85546875" style="12" customWidth="1"/>
    <col min="15" max="15" width="9.140625" style="9"/>
    <col min="17" max="17" width="15" bestFit="1" customWidth="1"/>
    <col min="18" max="18" width="14.140625" bestFit="1" customWidth="1"/>
    <col min="19" max="19" width="16" bestFit="1" customWidth="1"/>
    <col min="20" max="20" width="23.140625" bestFit="1" customWidth="1"/>
    <col min="16382" max="16382" width="13.85546875" bestFit="1" customWidth="1"/>
  </cols>
  <sheetData>
    <row r="1" spans="1:20 16382:16382" s="2" customFormat="1" x14ac:dyDescent="0.25">
      <c r="A1" s="3" t="s">
        <v>0</v>
      </c>
      <c r="B1" s="5" t="s">
        <v>1</v>
      </c>
      <c r="C1" s="5" t="s">
        <v>536</v>
      </c>
      <c r="D1" s="14" t="s">
        <v>535</v>
      </c>
      <c r="E1" s="14" t="s">
        <v>3</v>
      </c>
      <c r="F1" s="14" t="s">
        <v>555</v>
      </c>
      <c r="G1" s="14" t="s">
        <v>537</v>
      </c>
      <c r="H1" s="14" t="s">
        <v>556</v>
      </c>
      <c r="I1" s="6" t="s">
        <v>4</v>
      </c>
      <c r="J1" s="6" t="s">
        <v>5</v>
      </c>
      <c r="K1" s="6" t="s">
        <v>6</v>
      </c>
      <c r="L1" s="2" t="s">
        <v>7</v>
      </c>
      <c r="M1" s="8" t="s">
        <v>8</v>
      </c>
      <c r="N1" s="3" t="s">
        <v>9</v>
      </c>
      <c r="O1" s="11" t="s">
        <v>10</v>
      </c>
      <c r="P1" s="8" t="s">
        <v>11</v>
      </c>
      <c r="Q1" s="2" t="s">
        <v>576</v>
      </c>
      <c r="R1" s="2" t="s">
        <v>577</v>
      </c>
      <c r="S1" s="2" t="s">
        <v>578</v>
      </c>
      <c r="T1" s="31" t="s">
        <v>579</v>
      </c>
    </row>
    <row r="2" spans="1:20 16382:16382" x14ac:dyDescent="0.25">
      <c r="A2" s="4" t="s">
        <v>12</v>
      </c>
      <c r="B2" s="1">
        <v>45064</v>
      </c>
      <c r="C2" s="1">
        <v>45068</v>
      </c>
      <c r="D2" s="13">
        <f>Table1[[#This Row],[Shipped date]]-Table1[[#This Row],[Order Date]]</f>
        <v>4</v>
      </c>
      <c r="E2" t="s">
        <v>13</v>
      </c>
      <c r="F2" s="13" t="str">
        <f>TEXT(Table1[[#This Row],[Order Date]],"MMMM")</f>
        <v>May</v>
      </c>
      <c r="G2" s="13">
        <f>YEAR(B2)</f>
        <v>2023</v>
      </c>
      <c r="H2" s="13" t="str">
        <f>"Q" &amp;ROUNDUP(MONTH(B2)/3,0)</f>
        <v>Q2</v>
      </c>
      <c r="I2" s="1" t="s">
        <v>14</v>
      </c>
      <c r="J2" s="7" t="s">
        <v>15</v>
      </c>
      <c r="K2" s="7" t="s">
        <v>16</v>
      </c>
      <c r="L2" t="s">
        <v>17</v>
      </c>
      <c r="M2" s="9">
        <v>387.05</v>
      </c>
      <c r="N2" s="4">
        <v>1</v>
      </c>
      <c r="O2" s="12">
        <v>0</v>
      </c>
      <c r="P2" s="9">
        <v>31.55</v>
      </c>
      <c r="Q2" s="10">
        <f>Table1[[#This Row],[Profit]]/Table1[[#This Row],[Sales]]</f>
        <v>8.1514016276966805E-2</v>
      </c>
      <c r="R2" t="str">
        <f>IF(Table1[[#This Row],[Profit Margin]]&gt;0,"profit","loss")</f>
        <v>profit</v>
      </c>
      <c r="S2" t="str">
        <f>IF(Table1[[#This Row],[Discount]]=0,"No Discount",IF(Table1[[#This Row],[Discount]]&lt;=0.2,"low",IF(Table1[[#This Row],[Discount]]&lt;=0.3,"medium","high")))</f>
        <v>No Discount</v>
      </c>
      <c r="T2" s="15" t="str">
        <f>IF(Table1[[#This Row],[Days]]&lt;=2,"faster",IF(Table1[[#This Row],[Days]]&lt;=4,"Normal","slow"))</f>
        <v>Normal</v>
      </c>
    </row>
    <row r="3" spans="1:20 16382:16382" x14ac:dyDescent="0.25">
      <c r="A3" s="4" t="s">
        <v>18</v>
      </c>
      <c r="B3" s="1">
        <v>44974</v>
      </c>
      <c r="C3" s="1">
        <v>44980</v>
      </c>
      <c r="D3" s="13">
        <f>Table1[[#This Row],[Shipped date]]-Table1[[#This Row],[Order Date]]</f>
        <v>6</v>
      </c>
      <c r="E3" t="s">
        <v>13</v>
      </c>
      <c r="F3" s="13" t="str">
        <f>TEXT(Table1[[#This Row],[Order Date]],"MMMM")</f>
        <v>February</v>
      </c>
      <c r="G3" s="13">
        <f t="shared" ref="G3:G66" si="0">YEAR(B3)</f>
        <v>2023</v>
      </c>
      <c r="H3" s="13" t="str">
        <f t="shared" ref="H3:H66" si="1">"Q" &amp;ROUNDUP(MONTH(B3)/3,0)</f>
        <v>Q1</v>
      </c>
      <c r="I3" s="1" t="s">
        <v>20</v>
      </c>
      <c r="J3" s="7" t="s">
        <v>21</v>
      </c>
      <c r="K3" s="7" t="s">
        <v>22</v>
      </c>
      <c r="L3" t="s">
        <v>23</v>
      </c>
      <c r="M3" s="9">
        <v>784.1</v>
      </c>
      <c r="N3" s="4">
        <v>4</v>
      </c>
      <c r="O3" s="12">
        <v>0</v>
      </c>
      <c r="P3" s="9">
        <v>69.33</v>
      </c>
      <c r="Q3" s="10">
        <f>Table1[[#This Row],[Profit]]/Table1[[#This Row],[Sales]]</f>
        <v>8.8419844407601061E-2</v>
      </c>
      <c r="R3" t="str">
        <f>IF(Table1[[#This Row],[Profit Margin]]&gt;0,"profit","loss")</f>
        <v>profit</v>
      </c>
      <c r="S3" t="str">
        <f>IF(Table1[[#This Row],[Discount]]=0,"No Discount",IF(Table1[[#This Row],[Discount]]&lt;=0.2,"low",IF(Table1[[#This Row],[Discount]]&lt;=0.3,"medium","high")))</f>
        <v>No Discount</v>
      </c>
      <c r="T3" s="15" t="str">
        <f>IF(Table1[[#This Row],[Days]]&lt;=2,"faster",IF(Table1[[#This Row],[Days]]&lt;=4,"Normal","slow"))</f>
        <v>slow</v>
      </c>
    </row>
    <row r="4" spans="1:20 16382:16382" x14ac:dyDescent="0.25">
      <c r="A4" s="4" t="s">
        <v>24</v>
      </c>
      <c r="B4" s="1">
        <v>45210</v>
      </c>
      <c r="C4" s="1">
        <v>45211</v>
      </c>
      <c r="D4" s="13">
        <f>Table1[[#This Row],[Shipped date]]-Table1[[#This Row],[Order Date]]</f>
        <v>1</v>
      </c>
      <c r="E4" t="s">
        <v>19</v>
      </c>
      <c r="F4" s="13" t="str">
        <f>TEXT(Table1[[#This Row],[Order Date]],"MMMM")</f>
        <v>October</v>
      </c>
      <c r="G4" s="13">
        <f t="shared" si="0"/>
        <v>2023</v>
      </c>
      <c r="H4" s="13" t="str">
        <f t="shared" si="1"/>
        <v>Q4</v>
      </c>
      <c r="I4" s="1" t="s">
        <v>14</v>
      </c>
      <c r="J4" s="7" t="s">
        <v>26</v>
      </c>
      <c r="K4" s="7" t="s">
        <v>16</v>
      </c>
      <c r="L4" t="s">
        <v>17</v>
      </c>
      <c r="M4" s="9">
        <v>172.87</v>
      </c>
      <c r="N4" s="4">
        <v>6</v>
      </c>
      <c r="O4" s="12">
        <v>0.2</v>
      </c>
      <c r="P4" s="9">
        <v>-5.14</v>
      </c>
      <c r="Q4" s="10">
        <f>Table1[[#This Row],[Profit]]/Table1[[#This Row],[Sales]]</f>
        <v>-2.9733325620408396E-2</v>
      </c>
      <c r="R4" t="str">
        <f>IF(Table1[[#This Row],[Profit Margin]]&gt;0,"profit","loss")</f>
        <v>loss</v>
      </c>
      <c r="S4" t="str">
        <f>IF(Table1[[#This Row],[Discount]]=0,"No Discount",IF(Table1[[#This Row],[Discount]]&lt;=0.2,"low",IF(Table1[[#This Row],[Discount]]&lt;=0.3,"medium","high")))</f>
        <v>low</v>
      </c>
      <c r="T4" s="15" t="str">
        <f>IF(Table1[[#This Row],[Days]]&lt;=2,"faster",IF(Table1[[#This Row],[Days]]&lt;=4,"Normal","slow"))</f>
        <v>faster</v>
      </c>
    </row>
    <row r="5" spans="1:20 16382:16382" x14ac:dyDescent="0.25">
      <c r="A5" s="4" t="s">
        <v>27</v>
      </c>
      <c r="B5" s="1">
        <v>44989</v>
      </c>
      <c r="C5" s="1">
        <v>44994</v>
      </c>
      <c r="D5" s="13">
        <f>Table1[[#This Row],[Shipped date]]-Table1[[#This Row],[Order Date]]</f>
        <v>5</v>
      </c>
      <c r="E5" t="s">
        <v>25</v>
      </c>
      <c r="F5" s="13" t="str">
        <f>TEXT(Table1[[#This Row],[Order Date]],"MMMM")</f>
        <v>March</v>
      </c>
      <c r="G5" s="13">
        <f t="shared" si="0"/>
        <v>2023</v>
      </c>
      <c r="H5" s="13" t="str">
        <f t="shared" si="1"/>
        <v>Q1</v>
      </c>
      <c r="I5" s="1" t="s">
        <v>20</v>
      </c>
      <c r="J5" s="7" t="s">
        <v>21</v>
      </c>
      <c r="K5" s="7" t="s">
        <v>29</v>
      </c>
      <c r="L5" t="s">
        <v>30</v>
      </c>
      <c r="M5" s="9">
        <v>347.03</v>
      </c>
      <c r="N5" s="4">
        <v>4</v>
      </c>
      <c r="O5" s="12">
        <v>0.3</v>
      </c>
      <c r="P5" s="9">
        <v>-39.840000000000003</v>
      </c>
      <c r="Q5" s="10">
        <f>Table1[[#This Row],[Profit]]/Table1[[#This Row],[Sales]]</f>
        <v>-0.11480275480506009</v>
      </c>
      <c r="R5" t="str">
        <f>IF(Table1[[#This Row],[Profit Margin]]&gt;0,"profit","loss")</f>
        <v>loss</v>
      </c>
      <c r="S5" t="str">
        <f>IF(Table1[[#This Row],[Discount]]=0,"No Discount",IF(Table1[[#This Row],[Discount]]&lt;=0.2,"low",IF(Table1[[#This Row],[Discount]]&lt;=0.3,"medium","high")))</f>
        <v>medium</v>
      </c>
      <c r="T5" s="15" t="str">
        <f>IF(Table1[[#This Row],[Days]]&lt;=2,"faster",IF(Table1[[#This Row],[Days]]&lt;=4,"Normal","slow"))</f>
        <v>slow</v>
      </c>
      <c r="XFB5" s="16" t="s">
        <v>541</v>
      </c>
    </row>
    <row r="6" spans="1:20 16382:16382" x14ac:dyDescent="0.25">
      <c r="A6" s="4" t="s">
        <v>31</v>
      </c>
      <c r="B6" s="1">
        <v>44975</v>
      </c>
      <c r="C6" s="1">
        <v>44981</v>
      </c>
      <c r="D6" s="13">
        <f>Table1[[#This Row],[Shipped date]]-Table1[[#This Row],[Order Date]]</f>
        <v>6</v>
      </c>
      <c r="E6" t="s">
        <v>28</v>
      </c>
      <c r="F6" s="13" t="str">
        <f>TEXT(Table1[[#This Row],[Order Date]],"MMMM")</f>
        <v>February</v>
      </c>
      <c r="G6" s="13">
        <f t="shared" si="0"/>
        <v>2023</v>
      </c>
      <c r="H6" s="13" t="str">
        <f t="shared" si="1"/>
        <v>Q1</v>
      </c>
      <c r="I6" s="1" t="s">
        <v>14</v>
      </c>
      <c r="J6" s="7" t="s">
        <v>32</v>
      </c>
      <c r="K6" s="7" t="s">
        <v>16</v>
      </c>
      <c r="L6" t="s">
        <v>33</v>
      </c>
      <c r="M6" s="9">
        <v>40.17</v>
      </c>
      <c r="N6" s="4">
        <v>9</v>
      </c>
      <c r="O6" s="12">
        <v>0.1</v>
      </c>
      <c r="P6" s="9">
        <v>30.54</v>
      </c>
      <c r="Q6" s="10">
        <f>Table1[[#This Row],[Profit]]/Table1[[#This Row],[Sales]]</f>
        <v>0.76026885735623595</v>
      </c>
      <c r="R6" t="str">
        <f>IF(Table1[[#This Row],[Profit Margin]]&gt;0,"profit","loss")</f>
        <v>profit</v>
      </c>
      <c r="S6" t="str">
        <f>IF(Table1[[#This Row],[Discount]]=0,"No Discount",IF(Table1[[#This Row],[Discount]]&lt;=0.2,"low",IF(Table1[[#This Row],[Discount]]&lt;=0.3,"medium","high")))</f>
        <v>low</v>
      </c>
      <c r="T6" s="15" t="str">
        <f>IF(Table1[[#This Row],[Days]]&lt;=2,"faster",IF(Table1[[#This Row],[Days]]&lt;=4,"Normal","slow"))</f>
        <v>slow</v>
      </c>
      <c r="XFB6" s="17" t="s">
        <v>19</v>
      </c>
    </row>
    <row r="7" spans="1:20 16382:16382" x14ac:dyDescent="0.25">
      <c r="A7" s="4" t="s">
        <v>34</v>
      </c>
      <c r="B7" s="1">
        <v>45097</v>
      </c>
      <c r="C7" s="1">
        <v>45102</v>
      </c>
      <c r="D7" s="13">
        <f>Table1[[#This Row],[Shipped date]]-Table1[[#This Row],[Order Date]]</f>
        <v>5</v>
      </c>
      <c r="E7" t="s">
        <v>19</v>
      </c>
      <c r="F7" s="13" t="str">
        <f>TEXT(Table1[[#This Row],[Order Date]],"MMMM")</f>
        <v>June</v>
      </c>
      <c r="G7" s="13">
        <f t="shared" si="0"/>
        <v>2023</v>
      </c>
      <c r="H7" s="13" t="str">
        <f t="shared" si="1"/>
        <v>Q2</v>
      </c>
      <c r="I7" s="1" t="s">
        <v>20</v>
      </c>
      <c r="J7" s="7" t="s">
        <v>32</v>
      </c>
      <c r="K7" s="7" t="s">
        <v>22</v>
      </c>
      <c r="L7" t="s">
        <v>35</v>
      </c>
      <c r="M7" s="9">
        <v>939.78</v>
      </c>
      <c r="N7" s="4">
        <v>3</v>
      </c>
      <c r="O7" s="12">
        <v>0.1</v>
      </c>
      <c r="P7" s="9">
        <v>-7.27</v>
      </c>
      <c r="Q7" s="10">
        <f>Table1[[#This Row],[Profit]]/Table1[[#This Row],[Sales]]</f>
        <v>-7.7358530719955736E-3</v>
      </c>
      <c r="R7" t="str">
        <f>IF(Table1[[#This Row],[Profit Margin]]&gt;0,"profit","loss")</f>
        <v>loss</v>
      </c>
      <c r="S7" t="str">
        <f>IF(Table1[[#This Row],[Discount]]=0,"No Discount",IF(Table1[[#This Row],[Discount]]&lt;=0.2,"low",IF(Table1[[#This Row],[Discount]]&lt;=0.3,"medium","high")))</f>
        <v>low</v>
      </c>
      <c r="T7" s="15" t="str">
        <f>IF(Table1[[#This Row],[Days]]&lt;=2,"faster",IF(Table1[[#This Row],[Days]]&lt;=4,"Normal","slow"))</f>
        <v>slow</v>
      </c>
      <c r="XFB7" s="17" t="s">
        <v>13</v>
      </c>
    </row>
    <row r="8" spans="1:20 16382:16382" x14ac:dyDescent="0.25">
      <c r="A8" s="4" t="s">
        <v>36</v>
      </c>
      <c r="B8" s="1">
        <v>45122</v>
      </c>
      <c r="C8" s="1">
        <v>45124</v>
      </c>
      <c r="D8" s="13">
        <f>Table1[[#This Row],[Shipped date]]-Table1[[#This Row],[Order Date]]</f>
        <v>2</v>
      </c>
      <c r="E8" t="s">
        <v>28</v>
      </c>
      <c r="F8" s="13" t="str">
        <f>TEXT(Table1[[#This Row],[Order Date]],"MMMM")</f>
        <v>July</v>
      </c>
      <c r="G8" s="13">
        <f t="shared" si="0"/>
        <v>2023</v>
      </c>
      <c r="H8" s="13" t="str">
        <f t="shared" si="1"/>
        <v>Q3</v>
      </c>
      <c r="I8" s="1" t="s">
        <v>37</v>
      </c>
      <c r="J8" s="7" t="s">
        <v>32</v>
      </c>
      <c r="K8" s="7" t="s">
        <v>16</v>
      </c>
      <c r="L8" t="s">
        <v>38</v>
      </c>
      <c r="M8" s="9">
        <v>199.74</v>
      </c>
      <c r="N8" s="4">
        <v>1</v>
      </c>
      <c r="O8" s="12">
        <v>0.3</v>
      </c>
      <c r="P8" s="9">
        <v>-17.13</v>
      </c>
      <c r="Q8" s="10">
        <f>Table1[[#This Row],[Profit]]/Table1[[#This Row],[Sales]]</f>
        <v>-8.5761489936917984E-2</v>
      </c>
      <c r="R8" t="str">
        <f>IF(Table1[[#This Row],[Profit Margin]]&gt;0,"profit","loss")</f>
        <v>loss</v>
      </c>
      <c r="S8" t="str">
        <f>IF(Table1[[#This Row],[Discount]]=0,"No Discount",IF(Table1[[#This Row],[Discount]]&lt;=0.2,"low",IF(Table1[[#This Row],[Discount]]&lt;=0.3,"medium","high")))</f>
        <v>medium</v>
      </c>
      <c r="T8" s="15" t="str">
        <f>IF(Table1[[#This Row],[Days]]&lt;=2,"faster",IF(Table1[[#This Row],[Days]]&lt;=4,"Normal","slow"))</f>
        <v>faster</v>
      </c>
      <c r="XFB8" s="17" t="s">
        <v>28</v>
      </c>
    </row>
    <row r="9" spans="1:20 16382:16382" x14ac:dyDescent="0.25">
      <c r="A9" s="4" t="s">
        <v>39</v>
      </c>
      <c r="B9" s="1">
        <v>44963</v>
      </c>
      <c r="C9" s="1">
        <v>44964</v>
      </c>
      <c r="D9" s="13">
        <f>Table1[[#This Row],[Shipped date]]-Table1[[#This Row],[Order Date]]</f>
        <v>1</v>
      </c>
      <c r="E9" t="s">
        <v>19</v>
      </c>
      <c r="F9" s="13" t="str">
        <f>TEXT(Table1[[#This Row],[Order Date]],"MMMM")</f>
        <v>February</v>
      </c>
      <c r="G9" s="13">
        <f t="shared" si="0"/>
        <v>2023</v>
      </c>
      <c r="H9" s="13" t="str">
        <f t="shared" si="1"/>
        <v>Q1</v>
      </c>
      <c r="I9" s="1" t="s">
        <v>14</v>
      </c>
      <c r="J9" s="7" t="s">
        <v>32</v>
      </c>
      <c r="K9" s="7" t="s">
        <v>22</v>
      </c>
      <c r="L9" t="s">
        <v>40</v>
      </c>
      <c r="M9" s="9">
        <v>26.92</v>
      </c>
      <c r="N9" s="4">
        <v>4</v>
      </c>
      <c r="O9" s="12">
        <v>0</v>
      </c>
      <c r="P9" s="9">
        <v>3.08</v>
      </c>
      <c r="Q9" s="10">
        <f>Table1[[#This Row],[Profit]]/Table1[[#This Row],[Sales]]</f>
        <v>0.11441307578008915</v>
      </c>
      <c r="R9" t="str">
        <f>IF(Table1[[#This Row],[Profit Margin]]&gt;0,"profit","loss")</f>
        <v>profit</v>
      </c>
      <c r="S9" t="str">
        <f>IF(Table1[[#This Row],[Discount]]=0,"No Discount",IF(Table1[[#This Row],[Discount]]&lt;=0.2,"low",IF(Table1[[#This Row],[Discount]]&lt;=0.3,"medium","high")))</f>
        <v>No Discount</v>
      </c>
      <c r="T9" s="15" t="str">
        <f>IF(Table1[[#This Row],[Days]]&lt;=2,"faster",IF(Table1[[#This Row],[Days]]&lt;=4,"Normal","slow"))</f>
        <v>faster</v>
      </c>
      <c r="XFB9" s="17" t="s">
        <v>25</v>
      </c>
    </row>
    <row r="10" spans="1:20 16382:16382" x14ac:dyDescent="0.25">
      <c r="A10" s="4" t="s">
        <v>41</v>
      </c>
      <c r="B10" s="1">
        <v>45226</v>
      </c>
      <c r="C10" s="1">
        <v>45227</v>
      </c>
      <c r="D10" s="13">
        <f>Table1[[#This Row],[Shipped date]]-Table1[[#This Row],[Order Date]]</f>
        <v>1</v>
      </c>
      <c r="E10" t="s">
        <v>25</v>
      </c>
      <c r="F10" s="13" t="str">
        <f>TEXT(Table1[[#This Row],[Order Date]],"MMMM")</f>
        <v>October</v>
      </c>
      <c r="G10" s="13">
        <f t="shared" si="0"/>
        <v>2023</v>
      </c>
      <c r="H10" s="13" t="str">
        <f t="shared" si="1"/>
        <v>Q4</v>
      </c>
      <c r="I10" s="1" t="s">
        <v>14</v>
      </c>
      <c r="J10" s="7" t="s">
        <v>21</v>
      </c>
      <c r="K10" s="7" t="s">
        <v>16</v>
      </c>
      <c r="L10" t="s">
        <v>33</v>
      </c>
      <c r="M10" s="9">
        <v>619.62</v>
      </c>
      <c r="N10" s="4">
        <v>10</v>
      </c>
      <c r="O10" s="12">
        <v>0.1</v>
      </c>
      <c r="P10" s="9">
        <v>-16.73</v>
      </c>
      <c r="Q10" s="10">
        <f>Table1[[#This Row],[Profit]]/Table1[[#This Row],[Sales]]</f>
        <v>-2.7000419612020272E-2</v>
      </c>
      <c r="R10" t="str">
        <f>IF(Table1[[#This Row],[Profit Margin]]&gt;0,"profit","loss")</f>
        <v>loss</v>
      </c>
      <c r="S10" t="str">
        <f>IF(Table1[[#This Row],[Discount]]=0,"No Discount",IF(Table1[[#This Row],[Discount]]&lt;=0.2,"low",IF(Table1[[#This Row],[Discount]]&lt;=0.3,"medium","high")))</f>
        <v>low</v>
      </c>
      <c r="T10" s="15" t="str">
        <f>IF(Table1[[#This Row],[Days]]&lt;=2,"faster",IF(Table1[[#This Row],[Days]]&lt;=4,"Normal","slow"))</f>
        <v>faster</v>
      </c>
      <c r="XFB10" s="17" t="s">
        <v>540</v>
      </c>
    </row>
    <row r="11" spans="1:20 16382:16382" x14ac:dyDescent="0.25">
      <c r="A11" s="4" t="s">
        <v>42</v>
      </c>
      <c r="B11" s="1">
        <v>45068</v>
      </c>
      <c r="C11" s="1">
        <v>45072</v>
      </c>
      <c r="D11" s="13">
        <f>Table1[[#This Row],[Shipped date]]-Table1[[#This Row],[Order Date]]</f>
        <v>4</v>
      </c>
      <c r="E11" t="s">
        <v>28</v>
      </c>
      <c r="F11" s="13" t="str">
        <f>TEXT(Table1[[#This Row],[Order Date]],"MMMM")</f>
        <v>May</v>
      </c>
      <c r="G11" s="13">
        <f t="shared" si="0"/>
        <v>2023</v>
      </c>
      <c r="H11" s="13" t="str">
        <f t="shared" si="1"/>
        <v>Q2</v>
      </c>
      <c r="I11" s="1" t="s">
        <v>14</v>
      </c>
      <c r="J11" s="7" t="s">
        <v>15</v>
      </c>
      <c r="K11" s="7" t="s">
        <v>29</v>
      </c>
      <c r="L11" t="s">
        <v>43</v>
      </c>
      <c r="M11" s="9">
        <v>974.28</v>
      </c>
      <c r="N11" s="4">
        <v>7</v>
      </c>
      <c r="O11" s="12">
        <v>0.2</v>
      </c>
      <c r="P11" s="9">
        <v>-85.5</v>
      </c>
      <c r="Q11" s="10">
        <f>Table1[[#This Row],[Profit]]/Table1[[#This Row],[Sales]]</f>
        <v>-8.7757112944943955E-2</v>
      </c>
      <c r="R11" t="str">
        <f>IF(Table1[[#This Row],[Profit Margin]]&gt;0,"profit","loss")</f>
        <v>loss</v>
      </c>
      <c r="S11" t="str">
        <f>IF(Table1[[#This Row],[Discount]]=0,"No Discount",IF(Table1[[#This Row],[Discount]]&lt;=0.2,"low",IF(Table1[[#This Row],[Discount]]&lt;=0.3,"medium","high")))</f>
        <v>low</v>
      </c>
      <c r="T11" s="15" t="str">
        <f>IF(Table1[[#This Row],[Days]]&lt;=2,"faster",IF(Table1[[#This Row],[Days]]&lt;=4,"Normal","slow"))</f>
        <v>Normal</v>
      </c>
    </row>
    <row r="12" spans="1:20 16382:16382" x14ac:dyDescent="0.25">
      <c r="A12" s="4" t="s">
        <v>44</v>
      </c>
      <c r="B12" s="1">
        <v>45138</v>
      </c>
      <c r="C12" s="1">
        <v>45142</v>
      </c>
      <c r="D12" s="13">
        <f>Table1[[#This Row],[Shipped date]]-Table1[[#This Row],[Order Date]]</f>
        <v>4</v>
      </c>
      <c r="E12" t="s">
        <v>13</v>
      </c>
      <c r="F12" s="13" t="str">
        <f>TEXT(Table1[[#This Row],[Order Date]],"MMMM")</f>
        <v>July</v>
      </c>
      <c r="G12" s="13">
        <f t="shared" si="0"/>
        <v>2023</v>
      </c>
      <c r="H12" s="13" t="str">
        <f t="shared" si="1"/>
        <v>Q3</v>
      </c>
      <c r="I12" s="1" t="s">
        <v>20</v>
      </c>
      <c r="J12" s="7" t="s">
        <v>21</v>
      </c>
      <c r="K12" s="7" t="s">
        <v>29</v>
      </c>
      <c r="L12" t="s">
        <v>45</v>
      </c>
      <c r="M12" s="9">
        <v>789.47</v>
      </c>
      <c r="N12" s="4">
        <v>5</v>
      </c>
      <c r="O12" s="12">
        <v>0.2</v>
      </c>
      <c r="P12" s="9">
        <v>-72.17</v>
      </c>
      <c r="Q12" s="10">
        <f>Table1[[#This Row],[Profit]]/Table1[[#This Row],[Sales]]</f>
        <v>-9.1415759940213059E-2</v>
      </c>
      <c r="R12" t="str">
        <f>IF(Table1[[#This Row],[Profit Margin]]&gt;0,"profit","loss")</f>
        <v>loss</v>
      </c>
      <c r="S12" t="str">
        <f>IF(Table1[[#This Row],[Discount]]=0,"No Discount",IF(Table1[[#This Row],[Discount]]&lt;=0.2,"low",IF(Table1[[#This Row],[Discount]]&lt;=0.3,"medium","high")))</f>
        <v>low</v>
      </c>
      <c r="T12" s="15" t="str">
        <f>IF(Table1[[#This Row],[Days]]&lt;=2,"faster",IF(Table1[[#This Row],[Days]]&lt;=4,"Normal","slow"))</f>
        <v>Normal</v>
      </c>
    </row>
    <row r="13" spans="1:20 16382:16382" x14ac:dyDescent="0.25">
      <c r="A13" s="4" t="s">
        <v>46</v>
      </c>
      <c r="B13" s="1">
        <v>45076</v>
      </c>
      <c r="C13" s="1">
        <v>45079</v>
      </c>
      <c r="D13" s="13">
        <f>Table1[[#This Row],[Shipped date]]-Table1[[#This Row],[Order Date]]</f>
        <v>3</v>
      </c>
      <c r="E13" t="s">
        <v>28</v>
      </c>
      <c r="F13" s="13" t="str">
        <f>TEXT(Table1[[#This Row],[Order Date]],"MMMM")</f>
        <v>May</v>
      </c>
      <c r="G13" s="13">
        <f t="shared" si="0"/>
        <v>2023</v>
      </c>
      <c r="H13" s="13" t="str">
        <f t="shared" si="1"/>
        <v>Q2</v>
      </c>
      <c r="I13" s="1" t="s">
        <v>14</v>
      </c>
      <c r="J13" s="7" t="s">
        <v>26</v>
      </c>
      <c r="K13" s="7" t="s">
        <v>16</v>
      </c>
      <c r="L13" t="s">
        <v>38</v>
      </c>
      <c r="M13" s="9">
        <v>983.57</v>
      </c>
      <c r="N13" s="4">
        <v>5</v>
      </c>
      <c r="O13" s="12">
        <v>0</v>
      </c>
      <c r="P13" s="9">
        <v>81.61</v>
      </c>
      <c r="Q13" s="10">
        <f>Table1[[#This Row],[Profit]]/Table1[[#This Row],[Sales]]</f>
        <v>8.2973250505810461E-2</v>
      </c>
      <c r="R13" t="str">
        <f>IF(Table1[[#This Row],[Profit Margin]]&gt;0,"profit","loss")</f>
        <v>profit</v>
      </c>
      <c r="S13" t="str">
        <f>IF(Table1[[#This Row],[Discount]]=0,"No Discount",IF(Table1[[#This Row],[Discount]]&lt;=0.2,"low",IF(Table1[[#This Row],[Discount]]&lt;=0.3,"medium","high")))</f>
        <v>No Discount</v>
      </c>
      <c r="T13" s="15" t="str">
        <f>IF(Table1[[#This Row],[Days]]&lt;=2,"faster",IF(Table1[[#This Row],[Days]]&lt;=4,"Normal","slow"))</f>
        <v>Normal</v>
      </c>
    </row>
    <row r="14" spans="1:20 16382:16382" x14ac:dyDescent="0.25">
      <c r="A14" s="4" t="s">
        <v>47</v>
      </c>
      <c r="B14" s="1">
        <v>45207</v>
      </c>
      <c r="C14" s="1">
        <v>45210</v>
      </c>
      <c r="D14" s="13">
        <f>Table1[[#This Row],[Shipped date]]-Table1[[#This Row],[Order Date]]</f>
        <v>3</v>
      </c>
      <c r="E14" t="s">
        <v>13</v>
      </c>
      <c r="F14" s="13" t="str">
        <f>TEXT(Table1[[#This Row],[Order Date]],"MMMM")</f>
        <v>October</v>
      </c>
      <c r="G14" s="13">
        <f t="shared" si="0"/>
        <v>2023</v>
      </c>
      <c r="H14" s="13" t="str">
        <f t="shared" si="1"/>
        <v>Q4</v>
      </c>
      <c r="I14" s="1" t="s">
        <v>37</v>
      </c>
      <c r="J14" s="7" t="s">
        <v>21</v>
      </c>
      <c r="K14" s="7" t="s">
        <v>22</v>
      </c>
      <c r="L14" t="s">
        <v>40</v>
      </c>
      <c r="M14" s="9">
        <v>615.39</v>
      </c>
      <c r="N14" s="4">
        <v>2</v>
      </c>
      <c r="O14" s="12">
        <v>0</v>
      </c>
      <c r="P14" s="9">
        <v>73.069999999999993</v>
      </c>
      <c r="Q14" s="10">
        <f>Table1[[#This Row],[Profit]]/Table1[[#This Row],[Sales]]</f>
        <v>0.11873771104502835</v>
      </c>
      <c r="R14" t="str">
        <f>IF(Table1[[#This Row],[Profit Margin]]&gt;0,"profit","loss")</f>
        <v>profit</v>
      </c>
      <c r="S14" t="str">
        <f>IF(Table1[[#This Row],[Discount]]=0,"No Discount",IF(Table1[[#This Row],[Discount]]&lt;=0.2,"low",IF(Table1[[#This Row],[Discount]]&lt;=0.3,"medium","high")))</f>
        <v>No Discount</v>
      </c>
      <c r="T14" s="15" t="str">
        <f>IF(Table1[[#This Row],[Days]]&lt;=2,"faster",IF(Table1[[#This Row],[Days]]&lt;=4,"Normal","slow"))</f>
        <v>Normal</v>
      </c>
    </row>
    <row r="15" spans="1:20 16382:16382" x14ac:dyDescent="0.25">
      <c r="A15" s="4" t="s">
        <v>48</v>
      </c>
      <c r="B15" s="1">
        <v>45231</v>
      </c>
      <c r="C15" s="1">
        <v>45233</v>
      </c>
      <c r="D15" s="13">
        <f>Table1[[#This Row],[Shipped date]]-Table1[[#This Row],[Order Date]]</f>
        <v>2</v>
      </c>
      <c r="E15" t="s">
        <v>13</v>
      </c>
      <c r="F15" s="13" t="str">
        <f>TEXT(Table1[[#This Row],[Order Date]],"MMMM")</f>
        <v>November</v>
      </c>
      <c r="G15" s="13">
        <f t="shared" si="0"/>
        <v>2023</v>
      </c>
      <c r="H15" s="13" t="str">
        <f t="shared" si="1"/>
        <v>Q4</v>
      </c>
      <c r="I15" s="1" t="s">
        <v>37</v>
      </c>
      <c r="J15" s="7" t="s">
        <v>21</v>
      </c>
      <c r="K15" s="7" t="s">
        <v>22</v>
      </c>
      <c r="L15" t="s">
        <v>35</v>
      </c>
      <c r="M15" s="9">
        <v>33</v>
      </c>
      <c r="N15" s="4">
        <v>5</v>
      </c>
      <c r="O15" s="12">
        <v>0</v>
      </c>
      <c r="P15" s="9">
        <v>50.89</v>
      </c>
      <c r="Q15" s="10">
        <f>Table1[[#This Row],[Profit]]/Table1[[#This Row],[Sales]]</f>
        <v>1.5421212121212122</v>
      </c>
      <c r="R15" t="str">
        <f>IF(Table1[[#This Row],[Profit Margin]]&gt;0,"profit","loss")</f>
        <v>profit</v>
      </c>
      <c r="S15" t="str">
        <f>IF(Table1[[#This Row],[Discount]]=0,"No Discount",IF(Table1[[#This Row],[Discount]]&lt;=0.2,"low",IF(Table1[[#This Row],[Discount]]&lt;=0.3,"medium","high")))</f>
        <v>No Discount</v>
      </c>
      <c r="T15" s="15" t="str">
        <f>IF(Table1[[#This Row],[Days]]&lt;=2,"faster",IF(Table1[[#This Row],[Days]]&lt;=4,"Normal","slow"))</f>
        <v>faster</v>
      </c>
    </row>
    <row r="16" spans="1:20 16382:16382" x14ac:dyDescent="0.25">
      <c r="A16" s="4" t="s">
        <v>49</v>
      </c>
      <c r="B16" s="1">
        <v>45002</v>
      </c>
      <c r="C16" s="1">
        <v>45003</v>
      </c>
      <c r="D16" s="13">
        <f>Table1[[#This Row],[Shipped date]]-Table1[[#This Row],[Order Date]]</f>
        <v>1</v>
      </c>
      <c r="E16" t="s">
        <v>19</v>
      </c>
      <c r="F16" s="13" t="str">
        <f>TEXT(Table1[[#This Row],[Order Date]],"MMMM")</f>
        <v>March</v>
      </c>
      <c r="G16" s="13">
        <f t="shared" si="0"/>
        <v>2023</v>
      </c>
      <c r="H16" s="13" t="str">
        <f t="shared" si="1"/>
        <v>Q1</v>
      </c>
      <c r="I16" s="1" t="s">
        <v>37</v>
      </c>
      <c r="J16" s="7" t="s">
        <v>32</v>
      </c>
      <c r="K16" s="7" t="s">
        <v>29</v>
      </c>
      <c r="L16" t="s">
        <v>45</v>
      </c>
      <c r="M16" s="9">
        <v>812.23</v>
      </c>
      <c r="N16" s="4">
        <v>2</v>
      </c>
      <c r="O16" s="12">
        <v>0</v>
      </c>
      <c r="P16" s="9">
        <v>62.34</v>
      </c>
      <c r="Q16" s="10">
        <f>Table1[[#This Row],[Profit]]/Table1[[#This Row],[Sales]]</f>
        <v>7.6751659012841186E-2</v>
      </c>
      <c r="R16" t="str">
        <f>IF(Table1[[#This Row],[Profit Margin]]&gt;0,"profit","loss")</f>
        <v>profit</v>
      </c>
      <c r="S16" t="str">
        <f>IF(Table1[[#This Row],[Discount]]=0,"No Discount",IF(Table1[[#This Row],[Discount]]&lt;=0.2,"low",IF(Table1[[#This Row],[Discount]]&lt;=0.3,"medium","high")))</f>
        <v>No Discount</v>
      </c>
      <c r="T16" s="15" t="str">
        <f>IF(Table1[[#This Row],[Days]]&lt;=2,"faster",IF(Table1[[#This Row],[Days]]&lt;=4,"Normal","slow"))</f>
        <v>faster</v>
      </c>
    </row>
    <row r="17" spans="1:20" x14ac:dyDescent="0.25">
      <c r="A17" s="4" t="s">
        <v>50</v>
      </c>
      <c r="B17" s="1">
        <v>45131</v>
      </c>
      <c r="C17" s="1">
        <v>45133</v>
      </c>
      <c r="D17" s="13">
        <f>Table1[[#This Row],[Shipped date]]-Table1[[#This Row],[Order Date]]</f>
        <v>2</v>
      </c>
      <c r="E17" t="s">
        <v>28</v>
      </c>
      <c r="F17" s="13" t="str">
        <f>TEXT(Table1[[#This Row],[Order Date]],"MMMM")</f>
        <v>July</v>
      </c>
      <c r="G17" s="13">
        <f t="shared" si="0"/>
        <v>2023</v>
      </c>
      <c r="H17" s="13" t="str">
        <f t="shared" si="1"/>
        <v>Q3</v>
      </c>
      <c r="I17" s="1" t="s">
        <v>14</v>
      </c>
      <c r="J17" s="7" t="s">
        <v>26</v>
      </c>
      <c r="K17" s="7" t="s">
        <v>29</v>
      </c>
      <c r="L17" t="s">
        <v>45</v>
      </c>
      <c r="M17" s="9">
        <v>246.28</v>
      </c>
      <c r="N17" s="4">
        <v>4</v>
      </c>
      <c r="O17" s="12">
        <v>0.3</v>
      </c>
      <c r="P17" s="9">
        <v>-38.450000000000003</v>
      </c>
      <c r="Q17" s="10">
        <f>Table1[[#This Row],[Profit]]/Table1[[#This Row],[Sales]]</f>
        <v>-0.15612311190514863</v>
      </c>
      <c r="R17" t="str">
        <f>IF(Table1[[#This Row],[Profit Margin]]&gt;0,"profit","loss")</f>
        <v>loss</v>
      </c>
      <c r="S17" t="str">
        <f>IF(Table1[[#This Row],[Discount]]=0,"No Discount",IF(Table1[[#This Row],[Discount]]&lt;=0.2,"low",IF(Table1[[#This Row],[Discount]]&lt;=0.3,"medium","high")))</f>
        <v>medium</v>
      </c>
      <c r="T17" s="15" t="str">
        <f>IF(Table1[[#This Row],[Days]]&lt;=2,"faster",IF(Table1[[#This Row],[Days]]&lt;=4,"Normal","slow"))</f>
        <v>faster</v>
      </c>
    </row>
    <row r="18" spans="1:20" x14ac:dyDescent="0.25">
      <c r="A18" s="4" t="s">
        <v>51</v>
      </c>
      <c r="B18" s="1">
        <v>45229</v>
      </c>
      <c r="C18" s="1">
        <v>45232</v>
      </c>
      <c r="D18" s="13">
        <f>Table1[[#This Row],[Shipped date]]-Table1[[#This Row],[Order Date]]</f>
        <v>3</v>
      </c>
      <c r="E18" t="s">
        <v>19</v>
      </c>
      <c r="F18" s="13" t="str">
        <f>TEXT(Table1[[#This Row],[Order Date]],"MMMM")</f>
        <v>October</v>
      </c>
      <c r="G18" s="13">
        <f t="shared" si="0"/>
        <v>2023</v>
      </c>
      <c r="H18" s="13" t="str">
        <f t="shared" si="1"/>
        <v>Q4</v>
      </c>
      <c r="I18" s="1" t="s">
        <v>20</v>
      </c>
      <c r="J18" s="7" t="s">
        <v>21</v>
      </c>
      <c r="K18" s="7" t="s">
        <v>16</v>
      </c>
      <c r="L18" t="s">
        <v>38</v>
      </c>
      <c r="M18" s="9">
        <v>139.6</v>
      </c>
      <c r="N18" s="4">
        <v>9</v>
      </c>
      <c r="O18" s="12">
        <v>0</v>
      </c>
      <c r="P18" s="9">
        <v>52.28</v>
      </c>
      <c r="Q18" s="10">
        <f>Table1[[#This Row],[Profit]]/Table1[[#This Row],[Sales]]</f>
        <v>0.37449856733524356</v>
      </c>
      <c r="R18" t="str">
        <f>IF(Table1[[#This Row],[Profit Margin]]&gt;0,"profit","loss")</f>
        <v>profit</v>
      </c>
      <c r="S18" t="str">
        <f>IF(Table1[[#This Row],[Discount]]=0,"No Discount",IF(Table1[[#This Row],[Discount]]&lt;=0.2,"low",IF(Table1[[#This Row],[Discount]]&lt;=0.3,"medium","high")))</f>
        <v>No Discount</v>
      </c>
      <c r="T18" s="15" t="str">
        <f>IF(Table1[[#This Row],[Days]]&lt;=2,"faster",IF(Table1[[#This Row],[Days]]&lt;=4,"Normal","slow"))</f>
        <v>Normal</v>
      </c>
    </row>
    <row r="19" spans="1:20" x14ac:dyDescent="0.25">
      <c r="A19" s="4" t="s">
        <v>52</v>
      </c>
      <c r="B19" s="1">
        <v>45197</v>
      </c>
      <c r="C19" s="1">
        <v>45203</v>
      </c>
      <c r="D19" s="13">
        <f>Table1[[#This Row],[Shipped date]]-Table1[[#This Row],[Order Date]]</f>
        <v>6</v>
      </c>
      <c r="E19" t="s">
        <v>13</v>
      </c>
      <c r="F19" s="13" t="str">
        <f>TEXT(Table1[[#This Row],[Order Date]],"MMMM")</f>
        <v>September</v>
      </c>
      <c r="G19" s="13">
        <f t="shared" si="0"/>
        <v>2023</v>
      </c>
      <c r="H19" s="13" t="str">
        <f t="shared" si="1"/>
        <v>Q3</v>
      </c>
      <c r="I19" s="1" t="s">
        <v>37</v>
      </c>
      <c r="J19" s="7" t="s">
        <v>15</v>
      </c>
      <c r="K19" s="7" t="s">
        <v>29</v>
      </c>
      <c r="L19" t="s">
        <v>43</v>
      </c>
      <c r="M19" s="9">
        <v>189.9</v>
      </c>
      <c r="N19" s="4">
        <v>2</v>
      </c>
      <c r="O19" s="12">
        <v>0</v>
      </c>
      <c r="P19" s="9">
        <v>17.100000000000001</v>
      </c>
      <c r="Q19" s="10">
        <f>Table1[[#This Row],[Profit]]/Table1[[#This Row],[Sales]]</f>
        <v>9.004739336492891E-2</v>
      </c>
      <c r="R19" t="str">
        <f>IF(Table1[[#This Row],[Profit Margin]]&gt;0,"profit","loss")</f>
        <v>profit</v>
      </c>
      <c r="S19" t="str">
        <f>IF(Table1[[#This Row],[Discount]]=0,"No Discount",IF(Table1[[#This Row],[Discount]]&lt;=0.2,"low",IF(Table1[[#This Row],[Discount]]&lt;=0.3,"medium","high")))</f>
        <v>No Discount</v>
      </c>
      <c r="T19" s="15" t="str">
        <f>IF(Table1[[#This Row],[Days]]&lt;=2,"faster",IF(Table1[[#This Row],[Days]]&lt;=4,"Normal","slow"))</f>
        <v>slow</v>
      </c>
    </row>
    <row r="20" spans="1:20" x14ac:dyDescent="0.25">
      <c r="A20" s="4" t="s">
        <v>53</v>
      </c>
      <c r="B20" s="1">
        <v>44938</v>
      </c>
      <c r="C20" s="1">
        <v>44940</v>
      </c>
      <c r="D20" s="13">
        <f>Table1[[#This Row],[Shipped date]]-Table1[[#This Row],[Order Date]]</f>
        <v>2</v>
      </c>
      <c r="E20" t="s">
        <v>19</v>
      </c>
      <c r="F20" s="13" t="str">
        <f>TEXT(Table1[[#This Row],[Order Date]],"MMMM")</f>
        <v>January</v>
      </c>
      <c r="G20" s="13">
        <f t="shared" si="0"/>
        <v>2023</v>
      </c>
      <c r="H20" s="13" t="str">
        <f t="shared" si="1"/>
        <v>Q1</v>
      </c>
      <c r="I20" s="1" t="s">
        <v>37</v>
      </c>
      <c r="J20" s="7" t="s">
        <v>21</v>
      </c>
      <c r="K20" s="7" t="s">
        <v>22</v>
      </c>
      <c r="L20" t="s">
        <v>23</v>
      </c>
      <c r="M20" s="9">
        <v>669.27</v>
      </c>
      <c r="N20" s="4">
        <v>5</v>
      </c>
      <c r="O20" s="12">
        <v>0.1</v>
      </c>
      <c r="P20" s="9">
        <v>9.76</v>
      </c>
      <c r="Q20" s="10">
        <f>Table1[[#This Row],[Profit]]/Table1[[#This Row],[Sales]]</f>
        <v>1.4583053177342478E-2</v>
      </c>
      <c r="R20" t="str">
        <f>IF(Table1[[#This Row],[Profit Margin]]&gt;0,"profit","loss")</f>
        <v>profit</v>
      </c>
      <c r="S20" t="str">
        <f>IF(Table1[[#This Row],[Discount]]=0,"No Discount",IF(Table1[[#This Row],[Discount]]&lt;=0.2,"low",IF(Table1[[#This Row],[Discount]]&lt;=0.3,"medium","high")))</f>
        <v>low</v>
      </c>
      <c r="T20" s="15" t="str">
        <f>IF(Table1[[#This Row],[Days]]&lt;=2,"faster",IF(Table1[[#This Row],[Days]]&lt;=4,"Normal","slow"))</f>
        <v>faster</v>
      </c>
    </row>
    <row r="21" spans="1:20" x14ac:dyDescent="0.25">
      <c r="A21" s="4" t="s">
        <v>54</v>
      </c>
      <c r="B21" s="1">
        <v>45096</v>
      </c>
      <c r="C21" s="1">
        <v>45102</v>
      </c>
      <c r="D21" s="13">
        <f>Table1[[#This Row],[Shipped date]]-Table1[[#This Row],[Order Date]]</f>
        <v>6</v>
      </c>
      <c r="E21" t="s">
        <v>25</v>
      </c>
      <c r="F21" s="13" t="str">
        <f>TEXT(Table1[[#This Row],[Order Date]],"MMMM")</f>
        <v>June</v>
      </c>
      <c r="G21" s="13">
        <f t="shared" si="0"/>
        <v>2023</v>
      </c>
      <c r="H21" s="13" t="str">
        <f t="shared" si="1"/>
        <v>Q2</v>
      </c>
      <c r="I21" s="1" t="s">
        <v>20</v>
      </c>
      <c r="J21" s="7" t="s">
        <v>32</v>
      </c>
      <c r="K21" s="7" t="s">
        <v>22</v>
      </c>
      <c r="L21" t="s">
        <v>23</v>
      </c>
      <c r="M21" s="9">
        <v>223.78</v>
      </c>
      <c r="N21" s="4">
        <v>10</v>
      </c>
      <c r="O21" s="12">
        <v>0.3</v>
      </c>
      <c r="P21" s="9">
        <v>-51.82</v>
      </c>
      <c r="Q21" s="10">
        <f>Table1[[#This Row],[Profit]]/Table1[[#This Row],[Sales]]</f>
        <v>-0.23156671731164535</v>
      </c>
      <c r="R21" t="str">
        <f>IF(Table1[[#This Row],[Profit Margin]]&gt;0,"profit","loss")</f>
        <v>loss</v>
      </c>
      <c r="S21" t="str">
        <f>IF(Table1[[#This Row],[Discount]]=0,"No Discount",IF(Table1[[#This Row],[Discount]]&lt;=0.2,"low",IF(Table1[[#This Row],[Discount]]&lt;=0.3,"medium","high")))</f>
        <v>medium</v>
      </c>
      <c r="T21" s="15" t="str">
        <f>IF(Table1[[#This Row],[Days]]&lt;=2,"faster",IF(Table1[[#This Row],[Days]]&lt;=4,"Normal","slow"))</f>
        <v>slow</v>
      </c>
    </row>
    <row r="22" spans="1:20" x14ac:dyDescent="0.25">
      <c r="A22" s="4" t="s">
        <v>55</v>
      </c>
      <c r="B22" s="1">
        <v>45262</v>
      </c>
      <c r="C22" s="1">
        <v>45268</v>
      </c>
      <c r="D22" s="13">
        <f>Table1[[#This Row],[Shipped date]]-Table1[[#This Row],[Order Date]]</f>
        <v>6</v>
      </c>
      <c r="E22" t="s">
        <v>25</v>
      </c>
      <c r="F22" s="13" t="str">
        <f>TEXT(Table1[[#This Row],[Order Date]],"MMMM")</f>
        <v>December</v>
      </c>
      <c r="G22" s="13">
        <f t="shared" si="0"/>
        <v>2023</v>
      </c>
      <c r="H22" s="13" t="str">
        <f t="shared" si="1"/>
        <v>Q4</v>
      </c>
      <c r="I22" s="1" t="s">
        <v>20</v>
      </c>
      <c r="J22" s="7" t="s">
        <v>32</v>
      </c>
      <c r="K22" s="7" t="s">
        <v>29</v>
      </c>
      <c r="L22" t="s">
        <v>30</v>
      </c>
      <c r="M22" s="9">
        <v>970.19</v>
      </c>
      <c r="N22" s="4">
        <v>5</v>
      </c>
      <c r="O22" s="12">
        <v>0.1</v>
      </c>
      <c r="P22" s="9">
        <v>11.48</v>
      </c>
      <c r="Q22" s="10">
        <f>Table1[[#This Row],[Profit]]/Table1[[#This Row],[Sales]]</f>
        <v>1.1832733794411405E-2</v>
      </c>
      <c r="R22" t="str">
        <f>IF(Table1[[#This Row],[Profit Margin]]&gt;0,"profit","loss")</f>
        <v>profit</v>
      </c>
      <c r="S22" t="str">
        <f>IF(Table1[[#This Row],[Discount]]=0,"No Discount",IF(Table1[[#This Row],[Discount]]&lt;=0.2,"low",IF(Table1[[#This Row],[Discount]]&lt;=0.3,"medium","high")))</f>
        <v>low</v>
      </c>
      <c r="T22" s="15" t="str">
        <f>IF(Table1[[#This Row],[Days]]&lt;=2,"faster",IF(Table1[[#This Row],[Days]]&lt;=4,"Normal","slow"))</f>
        <v>slow</v>
      </c>
    </row>
    <row r="23" spans="1:20" x14ac:dyDescent="0.25">
      <c r="A23" s="4" t="s">
        <v>56</v>
      </c>
      <c r="B23" s="1">
        <v>44991</v>
      </c>
      <c r="C23" s="1">
        <v>44998</v>
      </c>
      <c r="D23" s="13">
        <f>Table1[[#This Row],[Shipped date]]-Table1[[#This Row],[Order Date]]</f>
        <v>7</v>
      </c>
      <c r="E23" t="s">
        <v>28</v>
      </c>
      <c r="F23" s="13" t="str">
        <f>TEXT(Table1[[#This Row],[Order Date]],"MMMM")</f>
        <v>March</v>
      </c>
      <c r="G23" s="13">
        <f t="shared" si="0"/>
        <v>2023</v>
      </c>
      <c r="H23" s="13" t="str">
        <f t="shared" si="1"/>
        <v>Q1</v>
      </c>
      <c r="I23" s="1" t="s">
        <v>37</v>
      </c>
      <c r="J23" s="7" t="s">
        <v>26</v>
      </c>
      <c r="K23" s="7" t="s">
        <v>22</v>
      </c>
      <c r="L23" t="s">
        <v>35</v>
      </c>
      <c r="M23" s="9">
        <v>407.25</v>
      </c>
      <c r="N23" s="4">
        <v>3</v>
      </c>
      <c r="O23" s="12">
        <v>0.3</v>
      </c>
      <c r="P23" s="9">
        <v>-59.6</v>
      </c>
      <c r="Q23" s="10">
        <f>Table1[[#This Row],[Profit]]/Table1[[#This Row],[Sales]]</f>
        <v>-0.14634745242480049</v>
      </c>
      <c r="R23" t="str">
        <f>IF(Table1[[#This Row],[Profit Margin]]&gt;0,"profit","loss")</f>
        <v>loss</v>
      </c>
      <c r="S23" t="str">
        <f>IF(Table1[[#This Row],[Discount]]=0,"No Discount",IF(Table1[[#This Row],[Discount]]&lt;=0.2,"low",IF(Table1[[#This Row],[Discount]]&lt;=0.3,"medium","high")))</f>
        <v>medium</v>
      </c>
      <c r="T23" s="15" t="str">
        <f>IF(Table1[[#This Row],[Days]]&lt;=2,"faster",IF(Table1[[#This Row],[Days]]&lt;=4,"Normal","slow"))</f>
        <v>slow</v>
      </c>
    </row>
    <row r="24" spans="1:20" x14ac:dyDescent="0.25">
      <c r="A24" s="4" t="s">
        <v>57</v>
      </c>
      <c r="B24" s="1">
        <v>45070</v>
      </c>
      <c r="C24" s="1">
        <v>45074</v>
      </c>
      <c r="D24" s="13">
        <f>Table1[[#This Row],[Shipped date]]-Table1[[#This Row],[Order Date]]</f>
        <v>4</v>
      </c>
      <c r="E24" t="s">
        <v>25</v>
      </c>
      <c r="F24" s="13" t="str">
        <f>TEXT(Table1[[#This Row],[Order Date]],"MMMM")</f>
        <v>May</v>
      </c>
      <c r="G24" s="13">
        <f t="shared" si="0"/>
        <v>2023</v>
      </c>
      <c r="H24" s="13" t="str">
        <f t="shared" si="1"/>
        <v>Q2</v>
      </c>
      <c r="I24" s="1" t="s">
        <v>37</v>
      </c>
      <c r="J24" s="7" t="s">
        <v>15</v>
      </c>
      <c r="K24" s="7" t="s">
        <v>29</v>
      </c>
      <c r="L24" t="s">
        <v>43</v>
      </c>
      <c r="M24" s="9">
        <v>923.44</v>
      </c>
      <c r="N24" s="4">
        <v>6</v>
      </c>
      <c r="O24" s="12">
        <v>0.3</v>
      </c>
      <c r="P24" s="9">
        <v>-164.76</v>
      </c>
      <c r="Q24" s="10">
        <f>Table1[[#This Row],[Profit]]/Table1[[#This Row],[Sales]]</f>
        <v>-0.17841982153686214</v>
      </c>
      <c r="R24" t="str">
        <f>IF(Table1[[#This Row],[Profit Margin]]&gt;0,"profit","loss")</f>
        <v>loss</v>
      </c>
      <c r="S24" t="str">
        <f>IF(Table1[[#This Row],[Discount]]=0,"No Discount",IF(Table1[[#This Row],[Discount]]&lt;=0.2,"low",IF(Table1[[#This Row],[Discount]]&lt;=0.3,"medium","high")))</f>
        <v>medium</v>
      </c>
      <c r="T24" s="15" t="str">
        <f>IF(Table1[[#This Row],[Days]]&lt;=2,"faster",IF(Table1[[#This Row],[Days]]&lt;=4,"Normal","slow"))</f>
        <v>Normal</v>
      </c>
    </row>
    <row r="25" spans="1:20" x14ac:dyDescent="0.25">
      <c r="A25" s="4" t="s">
        <v>58</v>
      </c>
      <c r="B25" s="1">
        <v>45177</v>
      </c>
      <c r="C25" s="1">
        <v>45179</v>
      </c>
      <c r="D25" s="13">
        <f>Table1[[#This Row],[Shipped date]]-Table1[[#This Row],[Order Date]]</f>
        <v>2</v>
      </c>
      <c r="E25" t="s">
        <v>13</v>
      </c>
      <c r="F25" s="13" t="str">
        <f>TEXT(Table1[[#This Row],[Order Date]],"MMMM")</f>
        <v>September</v>
      </c>
      <c r="G25" s="13">
        <f t="shared" si="0"/>
        <v>2023</v>
      </c>
      <c r="H25" s="13" t="str">
        <f t="shared" si="1"/>
        <v>Q3</v>
      </c>
      <c r="I25" s="1" t="s">
        <v>14</v>
      </c>
      <c r="J25" s="7" t="s">
        <v>15</v>
      </c>
      <c r="K25" s="7" t="s">
        <v>16</v>
      </c>
      <c r="L25" t="s">
        <v>33</v>
      </c>
      <c r="M25" s="9">
        <v>530.41999999999996</v>
      </c>
      <c r="N25" s="4">
        <v>4</v>
      </c>
      <c r="O25" s="12">
        <v>0.1</v>
      </c>
      <c r="P25" s="9">
        <v>2.77</v>
      </c>
      <c r="Q25" s="10">
        <f>Table1[[#This Row],[Profit]]/Table1[[#This Row],[Sales]]</f>
        <v>5.2222766863994578E-3</v>
      </c>
      <c r="R25" t="str">
        <f>IF(Table1[[#This Row],[Profit Margin]]&gt;0,"profit","loss")</f>
        <v>profit</v>
      </c>
      <c r="S25" t="str">
        <f>IF(Table1[[#This Row],[Discount]]=0,"No Discount",IF(Table1[[#This Row],[Discount]]&lt;=0.2,"low",IF(Table1[[#This Row],[Discount]]&lt;=0.3,"medium","high")))</f>
        <v>low</v>
      </c>
      <c r="T25" s="15" t="str">
        <f>IF(Table1[[#This Row],[Days]]&lt;=2,"faster",IF(Table1[[#This Row],[Days]]&lt;=4,"Normal","slow"))</f>
        <v>faster</v>
      </c>
    </row>
    <row r="26" spans="1:20" x14ac:dyDescent="0.25">
      <c r="A26" s="4" t="s">
        <v>59</v>
      </c>
      <c r="B26" s="1">
        <v>45002</v>
      </c>
      <c r="C26" s="1">
        <v>45004</v>
      </c>
      <c r="D26" s="13">
        <f>Table1[[#This Row],[Shipped date]]-Table1[[#This Row],[Order Date]]</f>
        <v>2</v>
      </c>
      <c r="E26" t="s">
        <v>25</v>
      </c>
      <c r="F26" s="13" t="str">
        <f>TEXT(Table1[[#This Row],[Order Date]],"MMMM")</f>
        <v>March</v>
      </c>
      <c r="G26" s="13">
        <f t="shared" si="0"/>
        <v>2023</v>
      </c>
      <c r="H26" s="13" t="str">
        <f t="shared" si="1"/>
        <v>Q1</v>
      </c>
      <c r="I26" s="1" t="s">
        <v>14</v>
      </c>
      <c r="J26" s="7" t="s">
        <v>26</v>
      </c>
      <c r="K26" s="7" t="s">
        <v>29</v>
      </c>
      <c r="L26" t="s">
        <v>45</v>
      </c>
      <c r="M26" s="9">
        <v>400.9</v>
      </c>
      <c r="N26" s="4">
        <v>10</v>
      </c>
      <c r="O26" s="12">
        <v>0.1</v>
      </c>
      <c r="P26" s="9">
        <v>17.78</v>
      </c>
      <c r="Q26" s="10">
        <f>Table1[[#This Row],[Profit]]/Table1[[#This Row],[Sales]]</f>
        <v>4.4350212022948372E-2</v>
      </c>
      <c r="R26" t="str">
        <f>IF(Table1[[#This Row],[Profit Margin]]&gt;0,"profit","loss")</f>
        <v>profit</v>
      </c>
      <c r="S26" t="str">
        <f>IF(Table1[[#This Row],[Discount]]=0,"No Discount",IF(Table1[[#This Row],[Discount]]&lt;=0.2,"low",IF(Table1[[#This Row],[Discount]]&lt;=0.3,"medium","high")))</f>
        <v>low</v>
      </c>
      <c r="T26" s="15" t="str">
        <f>IF(Table1[[#This Row],[Days]]&lt;=2,"faster",IF(Table1[[#This Row],[Days]]&lt;=4,"Normal","slow"))</f>
        <v>faster</v>
      </c>
    </row>
    <row r="27" spans="1:20" x14ac:dyDescent="0.25">
      <c r="A27" s="4" t="s">
        <v>60</v>
      </c>
      <c r="B27" s="1">
        <v>45067</v>
      </c>
      <c r="C27" s="1">
        <v>45069</v>
      </c>
      <c r="D27" s="13">
        <f>Table1[[#This Row],[Shipped date]]-Table1[[#This Row],[Order Date]]</f>
        <v>2</v>
      </c>
      <c r="E27" t="s">
        <v>28</v>
      </c>
      <c r="F27" s="13" t="str">
        <f>TEXT(Table1[[#This Row],[Order Date]],"MMMM")</f>
        <v>May</v>
      </c>
      <c r="G27" s="13">
        <f t="shared" si="0"/>
        <v>2023</v>
      </c>
      <c r="H27" s="13" t="str">
        <f t="shared" si="1"/>
        <v>Q2</v>
      </c>
      <c r="I27" s="1" t="s">
        <v>14</v>
      </c>
      <c r="J27" s="7" t="s">
        <v>21</v>
      </c>
      <c r="K27" s="7" t="s">
        <v>22</v>
      </c>
      <c r="L27" t="s">
        <v>23</v>
      </c>
      <c r="M27" s="9">
        <v>595.02</v>
      </c>
      <c r="N27" s="4">
        <v>1</v>
      </c>
      <c r="O27" s="12">
        <v>0</v>
      </c>
      <c r="P27" s="9">
        <v>59.17</v>
      </c>
      <c r="Q27" s="10">
        <f>Table1[[#This Row],[Profit]]/Table1[[#This Row],[Sales]]</f>
        <v>9.9442035561829858E-2</v>
      </c>
      <c r="R27" t="str">
        <f>IF(Table1[[#This Row],[Profit Margin]]&gt;0,"profit","loss")</f>
        <v>profit</v>
      </c>
      <c r="S27" t="str">
        <f>IF(Table1[[#This Row],[Discount]]=0,"No Discount",IF(Table1[[#This Row],[Discount]]&lt;=0.2,"low",IF(Table1[[#This Row],[Discount]]&lt;=0.3,"medium","high")))</f>
        <v>No Discount</v>
      </c>
      <c r="T27" s="15" t="str">
        <f>IF(Table1[[#This Row],[Days]]&lt;=2,"faster",IF(Table1[[#This Row],[Days]]&lt;=4,"Normal","slow"))</f>
        <v>faster</v>
      </c>
    </row>
    <row r="28" spans="1:20" x14ac:dyDescent="0.25">
      <c r="A28" s="4" t="s">
        <v>61</v>
      </c>
      <c r="B28" s="1">
        <v>45227</v>
      </c>
      <c r="C28" s="1">
        <v>45231</v>
      </c>
      <c r="D28" s="13">
        <f>Table1[[#This Row],[Shipped date]]-Table1[[#This Row],[Order Date]]</f>
        <v>4</v>
      </c>
      <c r="E28" t="s">
        <v>13</v>
      </c>
      <c r="F28" s="13" t="str">
        <f>TEXT(Table1[[#This Row],[Order Date]],"MMMM")</f>
        <v>October</v>
      </c>
      <c r="G28" s="13">
        <f t="shared" si="0"/>
        <v>2023</v>
      </c>
      <c r="H28" s="13" t="str">
        <f t="shared" si="1"/>
        <v>Q4</v>
      </c>
      <c r="I28" s="1" t="s">
        <v>37</v>
      </c>
      <c r="J28" s="7" t="s">
        <v>15</v>
      </c>
      <c r="K28" s="7" t="s">
        <v>16</v>
      </c>
      <c r="L28" t="s">
        <v>17</v>
      </c>
      <c r="M28" s="9">
        <v>551.84</v>
      </c>
      <c r="N28" s="4">
        <v>1</v>
      </c>
      <c r="O28" s="12">
        <v>0</v>
      </c>
      <c r="P28" s="9">
        <v>55.92</v>
      </c>
      <c r="Q28" s="10">
        <f>Table1[[#This Row],[Profit]]/Table1[[#This Row],[Sales]]</f>
        <v>0.10133371991881704</v>
      </c>
      <c r="R28" t="str">
        <f>IF(Table1[[#This Row],[Profit Margin]]&gt;0,"profit","loss")</f>
        <v>profit</v>
      </c>
      <c r="S28" t="str">
        <f>IF(Table1[[#This Row],[Discount]]=0,"No Discount",IF(Table1[[#This Row],[Discount]]&lt;=0.2,"low",IF(Table1[[#This Row],[Discount]]&lt;=0.3,"medium","high")))</f>
        <v>No Discount</v>
      </c>
      <c r="T28" s="15" t="str">
        <f>IF(Table1[[#This Row],[Days]]&lt;=2,"faster",IF(Table1[[#This Row],[Days]]&lt;=4,"Normal","slow"))</f>
        <v>Normal</v>
      </c>
    </row>
    <row r="29" spans="1:20" x14ac:dyDescent="0.25">
      <c r="A29" s="4" t="s">
        <v>62</v>
      </c>
      <c r="B29" s="1">
        <v>44991</v>
      </c>
      <c r="C29" s="1">
        <v>44995</v>
      </c>
      <c r="D29" s="13">
        <f>Table1[[#This Row],[Shipped date]]-Table1[[#This Row],[Order Date]]</f>
        <v>4</v>
      </c>
      <c r="E29" t="s">
        <v>25</v>
      </c>
      <c r="F29" s="13" t="str">
        <f>TEXT(Table1[[#This Row],[Order Date]],"MMMM")</f>
        <v>March</v>
      </c>
      <c r="G29" s="13">
        <f t="shared" si="0"/>
        <v>2023</v>
      </c>
      <c r="H29" s="13" t="str">
        <f t="shared" si="1"/>
        <v>Q1</v>
      </c>
      <c r="I29" s="1" t="s">
        <v>14</v>
      </c>
      <c r="J29" s="7" t="s">
        <v>15</v>
      </c>
      <c r="K29" s="7" t="s">
        <v>16</v>
      </c>
      <c r="L29" t="s">
        <v>17</v>
      </c>
      <c r="M29" s="9">
        <v>181.96</v>
      </c>
      <c r="N29" s="4">
        <v>4</v>
      </c>
      <c r="O29" s="12">
        <v>0</v>
      </c>
      <c r="P29" s="9">
        <v>67.28</v>
      </c>
      <c r="Q29" s="10">
        <f>Table1[[#This Row],[Profit]]/Table1[[#This Row],[Sales]]</f>
        <v>0.36975159375686961</v>
      </c>
      <c r="R29" t="str">
        <f>IF(Table1[[#This Row],[Profit Margin]]&gt;0,"profit","loss")</f>
        <v>profit</v>
      </c>
      <c r="S29" t="str">
        <f>IF(Table1[[#This Row],[Discount]]=0,"No Discount",IF(Table1[[#This Row],[Discount]]&lt;=0.2,"low",IF(Table1[[#This Row],[Discount]]&lt;=0.3,"medium","high")))</f>
        <v>No Discount</v>
      </c>
      <c r="T29" s="15" t="str">
        <f>IF(Table1[[#This Row],[Days]]&lt;=2,"faster",IF(Table1[[#This Row],[Days]]&lt;=4,"Normal","slow"))</f>
        <v>Normal</v>
      </c>
    </row>
    <row r="30" spans="1:20" x14ac:dyDescent="0.25">
      <c r="A30" s="4" t="s">
        <v>63</v>
      </c>
      <c r="B30" s="1">
        <v>45249</v>
      </c>
      <c r="C30" s="1">
        <v>45256</v>
      </c>
      <c r="D30" s="13">
        <f>Table1[[#This Row],[Shipped date]]-Table1[[#This Row],[Order Date]]</f>
        <v>7</v>
      </c>
      <c r="E30" t="s">
        <v>25</v>
      </c>
      <c r="F30" s="13" t="str">
        <f>TEXT(Table1[[#This Row],[Order Date]],"MMMM")</f>
        <v>November</v>
      </c>
      <c r="G30" s="13">
        <f t="shared" si="0"/>
        <v>2023</v>
      </c>
      <c r="H30" s="13" t="str">
        <f t="shared" si="1"/>
        <v>Q4</v>
      </c>
      <c r="I30" s="1" t="s">
        <v>20</v>
      </c>
      <c r="J30" s="7" t="s">
        <v>32</v>
      </c>
      <c r="K30" s="7" t="s">
        <v>16</v>
      </c>
      <c r="L30" t="s">
        <v>38</v>
      </c>
      <c r="M30" s="9">
        <v>776.8</v>
      </c>
      <c r="N30" s="4">
        <v>3</v>
      </c>
      <c r="O30" s="12">
        <v>0.3</v>
      </c>
      <c r="P30" s="9">
        <v>-154.82</v>
      </c>
      <c r="Q30" s="10">
        <f>Table1[[#This Row],[Profit]]/Table1[[#This Row],[Sales]]</f>
        <v>-0.1993048403707518</v>
      </c>
      <c r="R30" t="str">
        <f>IF(Table1[[#This Row],[Profit Margin]]&gt;0,"profit","loss")</f>
        <v>loss</v>
      </c>
      <c r="S30" t="str">
        <f>IF(Table1[[#This Row],[Discount]]=0,"No Discount",IF(Table1[[#This Row],[Discount]]&lt;=0.2,"low",IF(Table1[[#This Row],[Discount]]&lt;=0.3,"medium","high")))</f>
        <v>medium</v>
      </c>
      <c r="T30" s="15" t="str">
        <f>IF(Table1[[#This Row],[Days]]&lt;=2,"faster",IF(Table1[[#This Row],[Days]]&lt;=4,"Normal","slow"))</f>
        <v>slow</v>
      </c>
    </row>
    <row r="31" spans="1:20" x14ac:dyDescent="0.25">
      <c r="A31" s="4" t="s">
        <v>64</v>
      </c>
      <c r="B31" s="1">
        <v>45233</v>
      </c>
      <c r="C31" s="1">
        <v>45238</v>
      </c>
      <c r="D31" s="13">
        <f>Table1[[#This Row],[Shipped date]]-Table1[[#This Row],[Order Date]]</f>
        <v>5</v>
      </c>
      <c r="E31" t="s">
        <v>13</v>
      </c>
      <c r="F31" s="13" t="str">
        <f>TEXT(Table1[[#This Row],[Order Date]],"MMMM")</f>
        <v>November</v>
      </c>
      <c r="G31" s="13">
        <f t="shared" si="0"/>
        <v>2023</v>
      </c>
      <c r="H31" s="13" t="str">
        <f t="shared" si="1"/>
        <v>Q4</v>
      </c>
      <c r="I31" s="1" t="s">
        <v>37</v>
      </c>
      <c r="J31" s="7" t="s">
        <v>21</v>
      </c>
      <c r="K31" s="7" t="s">
        <v>22</v>
      </c>
      <c r="L31" t="s">
        <v>35</v>
      </c>
      <c r="M31" s="9">
        <v>33.799999999999997</v>
      </c>
      <c r="N31" s="4">
        <v>2</v>
      </c>
      <c r="O31" s="12">
        <v>0.2</v>
      </c>
      <c r="P31" s="9">
        <v>26.1</v>
      </c>
      <c r="Q31" s="10">
        <f>Table1[[#This Row],[Profit]]/Table1[[#This Row],[Sales]]</f>
        <v>0.77218934911242609</v>
      </c>
      <c r="R31" t="str">
        <f>IF(Table1[[#This Row],[Profit Margin]]&gt;0,"profit","loss")</f>
        <v>profit</v>
      </c>
      <c r="S31" t="str">
        <f>IF(Table1[[#This Row],[Discount]]=0,"No Discount",IF(Table1[[#This Row],[Discount]]&lt;=0.2,"low",IF(Table1[[#This Row],[Discount]]&lt;=0.3,"medium","high")))</f>
        <v>low</v>
      </c>
      <c r="T31" s="15" t="str">
        <f>IF(Table1[[#This Row],[Days]]&lt;=2,"faster",IF(Table1[[#This Row],[Days]]&lt;=4,"Normal","slow"))</f>
        <v>slow</v>
      </c>
    </row>
    <row r="32" spans="1:20" x14ac:dyDescent="0.25">
      <c r="A32" s="4" t="s">
        <v>65</v>
      </c>
      <c r="B32" s="1">
        <v>45006</v>
      </c>
      <c r="C32" s="1">
        <v>45009</v>
      </c>
      <c r="D32" s="13">
        <f>Table1[[#This Row],[Shipped date]]-Table1[[#This Row],[Order Date]]</f>
        <v>3</v>
      </c>
      <c r="E32" t="s">
        <v>13</v>
      </c>
      <c r="F32" s="13" t="str">
        <f>TEXT(Table1[[#This Row],[Order Date]],"MMMM")</f>
        <v>March</v>
      </c>
      <c r="G32" s="13">
        <f t="shared" si="0"/>
        <v>2023</v>
      </c>
      <c r="H32" s="13" t="str">
        <f t="shared" si="1"/>
        <v>Q1</v>
      </c>
      <c r="I32" s="1" t="s">
        <v>14</v>
      </c>
      <c r="J32" s="7" t="s">
        <v>26</v>
      </c>
      <c r="K32" s="7" t="s">
        <v>22</v>
      </c>
      <c r="L32" t="s">
        <v>40</v>
      </c>
      <c r="M32" s="9">
        <v>734.43</v>
      </c>
      <c r="N32" s="4">
        <v>1</v>
      </c>
      <c r="O32" s="12">
        <v>0</v>
      </c>
      <c r="P32" s="9">
        <v>95.86</v>
      </c>
      <c r="Q32" s="10">
        <f>Table1[[#This Row],[Profit]]/Table1[[#This Row],[Sales]]</f>
        <v>0.13052299061857495</v>
      </c>
      <c r="R32" t="str">
        <f>IF(Table1[[#This Row],[Profit Margin]]&gt;0,"profit","loss")</f>
        <v>profit</v>
      </c>
      <c r="S32" t="str">
        <f>IF(Table1[[#This Row],[Discount]]=0,"No Discount",IF(Table1[[#This Row],[Discount]]&lt;=0.2,"low",IF(Table1[[#This Row],[Discount]]&lt;=0.3,"medium","high")))</f>
        <v>No Discount</v>
      </c>
      <c r="T32" s="15" t="str">
        <f>IF(Table1[[#This Row],[Days]]&lt;=2,"faster",IF(Table1[[#This Row],[Days]]&lt;=4,"Normal","slow"))</f>
        <v>Normal</v>
      </c>
    </row>
    <row r="33" spans="1:20" x14ac:dyDescent="0.25">
      <c r="A33" s="4" t="s">
        <v>66</v>
      </c>
      <c r="B33" s="1">
        <v>44946</v>
      </c>
      <c r="C33" s="1">
        <v>44952</v>
      </c>
      <c r="D33" s="13">
        <f>Table1[[#This Row],[Shipped date]]-Table1[[#This Row],[Order Date]]</f>
        <v>6</v>
      </c>
      <c r="E33" t="s">
        <v>25</v>
      </c>
      <c r="F33" s="13" t="str">
        <f>TEXT(Table1[[#This Row],[Order Date]],"MMMM")</f>
        <v>January</v>
      </c>
      <c r="G33" s="13">
        <f t="shared" si="0"/>
        <v>2023</v>
      </c>
      <c r="H33" s="13" t="str">
        <f t="shared" si="1"/>
        <v>Q1</v>
      </c>
      <c r="I33" s="1" t="s">
        <v>37</v>
      </c>
      <c r="J33" s="7" t="s">
        <v>32</v>
      </c>
      <c r="K33" s="7" t="s">
        <v>22</v>
      </c>
      <c r="L33" t="s">
        <v>23</v>
      </c>
      <c r="M33" s="9">
        <v>927.77</v>
      </c>
      <c r="N33" s="4">
        <v>8</v>
      </c>
      <c r="O33" s="12">
        <v>0.1</v>
      </c>
      <c r="P33" s="9">
        <v>-11.89</v>
      </c>
      <c r="Q33" s="10">
        <f>Table1[[#This Row],[Profit]]/Table1[[#This Row],[Sales]]</f>
        <v>-1.2815676299082748E-2</v>
      </c>
      <c r="R33" t="str">
        <f>IF(Table1[[#This Row],[Profit Margin]]&gt;0,"profit","loss")</f>
        <v>loss</v>
      </c>
      <c r="S33" t="str">
        <f>IF(Table1[[#This Row],[Discount]]=0,"No Discount",IF(Table1[[#This Row],[Discount]]&lt;=0.2,"low",IF(Table1[[#This Row],[Discount]]&lt;=0.3,"medium","high")))</f>
        <v>low</v>
      </c>
      <c r="T33" s="15" t="str">
        <f>IF(Table1[[#This Row],[Days]]&lt;=2,"faster",IF(Table1[[#This Row],[Days]]&lt;=4,"Normal","slow"))</f>
        <v>slow</v>
      </c>
    </row>
    <row r="34" spans="1:20" x14ac:dyDescent="0.25">
      <c r="A34" s="4" t="s">
        <v>67</v>
      </c>
      <c r="B34" s="1">
        <v>45220</v>
      </c>
      <c r="C34" s="1">
        <v>45225</v>
      </c>
      <c r="D34" s="13">
        <f>Table1[[#This Row],[Shipped date]]-Table1[[#This Row],[Order Date]]</f>
        <v>5</v>
      </c>
      <c r="E34" t="s">
        <v>28</v>
      </c>
      <c r="F34" s="13" t="str">
        <f>TEXT(Table1[[#This Row],[Order Date]],"MMMM")</f>
        <v>October</v>
      </c>
      <c r="G34" s="13">
        <f t="shared" si="0"/>
        <v>2023</v>
      </c>
      <c r="H34" s="13" t="str">
        <f t="shared" si="1"/>
        <v>Q4</v>
      </c>
      <c r="I34" s="1" t="s">
        <v>37</v>
      </c>
      <c r="J34" s="7" t="s">
        <v>21</v>
      </c>
      <c r="K34" s="7" t="s">
        <v>16</v>
      </c>
      <c r="L34" t="s">
        <v>38</v>
      </c>
      <c r="M34" s="9">
        <v>865.84</v>
      </c>
      <c r="N34" s="4">
        <v>7</v>
      </c>
      <c r="O34" s="12">
        <v>0.3</v>
      </c>
      <c r="P34" s="9">
        <v>-161.71</v>
      </c>
      <c r="Q34" s="10">
        <f>Table1[[#This Row],[Profit]]/Table1[[#This Row],[Sales]]</f>
        <v>-0.18676660814931165</v>
      </c>
      <c r="R34" t="str">
        <f>IF(Table1[[#This Row],[Profit Margin]]&gt;0,"profit","loss")</f>
        <v>loss</v>
      </c>
      <c r="S34" t="str">
        <f>IF(Table1[[#This Row],[Discount]]=0,"No Discount",IF(Table1[[#This Row],[Discount]]&lt;=0.2,"low",IF(Table1[[#This Row],[Discount]]&lt;=0.3,"medium","high")))</f>
        <v>medium</v>
      </c>
      <c r="T34" s="15" t="str">
        <f>IF(Table1[[#This Row],[Days]]&lt;=2,"faster",IF(Table1[[#This Row],[Days]]&lt;=4,"Normal","slow"))</f>
        <v>slow</v>
      </c>
    </row>
    <row r="35" spans="1:20" x14ac:dyDescent="0.25">
      <c r="A35" s="4" t="s">
        <v>68</v>
      </c>
      <c r="B35" s="1">
        <v>45272</v>
      </c>
      <c r="C35" s="1">
        <v>45279</v>
      </c>
      <c r="D35" s="13">
        <f>Table1[[#This Row],[Shipped date]]-Table1[[#This Row],[Order Date]]</f>
        <v>7</v>
      </c>
      <c r="E35" t="s">
        <v>25</v>
      </c>
      <c r="F35" s="13" t="str">
        <f>TEXT(Table1[[#This Row],[Order Date]],"MMMM")</f>
        <v>December</v>
      </c>
      <c r="G35" s="13">
        <f t="shared" si="0"/>
        <v>2023</v>
      </c>
      <c r="H35" s="13" t="str">
        <f t="shared" si="1"/>
        <v>Q4</v>
      </c>
      <c r="I35" s="1" t="s">
        <v>37</v>
      </c>
      <c r="J35" s="7" t="s">
        <v>26</v>
      </c>
      <c r="K35" s="7" t="s">
        <v>22</v>
      </c>
      <c r="L35" t="s">
        <v>35</v>
      </c>
      <c r="M35" s="9">
        <v>113.5</v>
      </c>
      <c r="N35" s="4">
        <v>3</v>
      </c>
      <c r="O35" s="12">
        <v>0.2</v>
      </c>
      <c r="P35" s="9">
        <v>-9.58</v>
      </c>
      <c r="Q35" s="10">
        <f>Table1[[#This Row],[Profit]]/Table1[[#This Row],[Sales]]</f>
        <v>-8.4405286343612329E-2</v>
      </c>
      <c r="R35" t="str">
        <f>IF(Table1[[#This Row],[Profit Margin]]&gt;0,"profit","loss")</f>
        <v>loss</v>
      </c>
      <c r="S35" t="str">
        <f>IF(Table1[[#This Row],[Discount]]=0,"No Discount",IF(Table1[[#This Row],[Discount]]&lt;=0.2,"low",IF(Table1[[#This Row],[Discount]]&lt;=0.3,"medium","high")))</f>
        <v>low</v>
      </c>
      <c r="T35" s="15" t="str">
        <f>IF(Table1[[#This Row],[Days]]&lt;=2,"faster",IF(Table1[[#This Row],[Days]]&lt;=4,"Normal","slow"))</f>
        <v>slow</v>
      </c>
    </row>
    <row r="36" spans="1:20" x14ac:dyDescent="0.25">
      <c r="A36" s="4" t="s">
        <v>69</v>
      </c>
      <c r="B36" s="1">
        <v>45074</v>
      </c>
      <c r="C36" s="1">
        <v>45078</v>
      </c>
      <c r="D36" s="13">
        <f>Table1[[#This Row],[Shipped date]]-Table1[[#This Row],[Order Date]]</f>
        <v>4</v>
      </c>
      <c r="E36" t="s">
        <v>28</v>
      </c>
      <c r="F36" s="13" t="str">
        <f>TEXT(Table1[[#This Row],[Order Date]],"MMMM")</f>
        <v>May</v>
      </c>
      <c r="G36" s="13">
        <f t="shared" si="0"/>
        <v>2023</v>
      </c>
      <c r="H36" s="13" t="str">
        <f t="shared" si="1"/>
        <v>Q2</v>
      </c>
      <c r="I36" s="1" t="s">
        <v>37</v>
      </c>
      <c r="J36" s="7" t="s">
        <v>21</v>
      </c>
      <c r="K36" s="7" t="s">
        <v>22</v>
      </c>
      <c r="L36" t="s">
        <v>23</v>
      </c>
      <c r="M36" s="9">
        <v>338.68</v>
      </c>
      <c r="N36" s="4">
        <v>2</v>
      </c>
      <c r="O36" s="12">
        <v>0.2</v>
      </c>
      <c r="P36" s="9">
        <v>-12.48</v>
      </c>
      <c r="Q36" s="10">
        <f>Table1[[#This Row],[Profit]]/Table1[[#This Row],[Sales]]</f>
        <v>-3.6848942955001775E-2</v>
      </c>
      <c r="R36" t="str">
        <f>IF(Table1[[#This Row],[Profit Margin]]&gt;0,"profit","loss")</f>
        <v>loss</v>
      </c>
      <c r="S36" t="str">
        <f>IF(Table1[[#This Row],[Discount]]=0,"No Discount",IF(Table1[[#This Row],[Discount]]&lt;=0.2,"low",IF(Table1[[#This Row],[Discount]]&lt;=0.3,"medium","high")))</f>
        <v>low</v>
      </c>
      <c r="T36" s="15" t="str">
        <f>IF(Table1[[#This Row],[Days]]&lt;=2,"faster",IF(Table1[[#This Row],[Days]]&lt;=4,"Normal","slow"))</f>
        <v>Normal</v>
      </c>
    </row>
    <row r="37" spans="1:20" x14ac:dyDescent="0.25">
      <c r="A37" s="4" t="s">
        <v>70</v>
      </c>
      <c r="B37" s="1">
        <v>45106</v>
      </c>
      <c r="C37" s="1">
        <v>45108</v>
      </c>
      <c r="D37" s="13">
        <f>Table1[[#This Row],[Shipped date]]-Table1[[#This Row],[Order Date]]</f>
        <v>2</v>
      </c>
      <c r="E37" t="s">
        <v>19</v>
      </c>
      <c r="F37" s="13" t="str">
        <f>TEXT(Table1[[#This Row],[Order Date]],"MMMM")</f>
        <v>June</v>
      </c>
      <c r="G37" s="13">
        <f t="shared" si="0"/>
        <v>2023</v>
      </c>
      <c r="H37" s="13" t="str">
        <f t="shared" si="1"/>
        <v>Q2</v>
      </c>
      <c r="I37" s="1" t="s">
        <v>20</v>
      </c>
      <c r="J37" s="7" t="s">
        <v>15</v>
      </c>
      <c r="K37" s="7" t="s">
        <v>22</v>
      </c>
      <c r="L37" t="s">
        <v>35</v>
      </c>
      <c r="M37" s="9">
        <v>289.23</v>
      </c>
      <c r="N37" s="4">
        <v>10</v>
      </c>
      <c r="O37" s="12">
        <v>0.2</v>
      </c>
      <c r="P37" s="9">
        <v>-15.87</v>
      </c>
      <c r="Q37" s="10">
        <f>Table1[[#This Row],[Profit]]/Table1[[#This Row],[Sales]]</f>
        <v>-5.4869826781454197E-2</v>
      </c>
      <c r="R37" t="str">
        <f>IF(Table1[[#This Row],[Profit Margin]]&gt;0,"profit","loss")</f>
        <v>loss</v>
      </c>
      <c r="S37" t="str">
        <f>IF(Table1[[#This Row],[Discount]]=0,"No Discount",IF(Table1[[#This Row],[Discount]]&lt;=0.2,"low",IF(Table1[[#This Row],[Discount]]&lt;=0.3,"medium","high")))</f>
        <v>low</v>
      </c>
      <c r="T37" s="15" t="str">
        <f>IF(Table1[[#This Row],[Days]]&lt;=2,"faster",IF(Table1[[#This Row],[Days]]&lt;=4,"Normal","slow"))</f>
        <v>faster</v>
      </c>
    </row>
    <row r="38" spans="1:20" x14ac:dyDescent="0.25">
      <c r="A38" s="4" t="s">
        <v>71</v>
      </c>
      <c r="B38" s="1">
        <v>45179</v>
      </c>
      <c r="C38" s="1">
        <v>45181</v>
      </c>
      <c r="D38" s="13">
        <f>Table1[[#This Row],[Shipped date]]-Table1[[#This Row],[Order Date]]</f>
        <v>2</v>
      </c>
      <c r="E38" t="s">
        <v>19</v>
      </c>
      <c r="F38" s="13" t="str">
        <f>TEXT(Table1[[#This Row],[Order Date]],"MMMM")</f>
        <v>September</v>
      </c>
      <c r="G38" s="13">
        <f t="shared" si="0"/>
        <v>2023</v>
      </c>
      <c r="H38" s="13" t="str">
        <f t="shared" si="1"/>
        <v>Q3</v>
      </c>
      <c r="I38" s="1" t="s">
        <v>37</v>
      </c>
      <c r="J38" s="7" t="s">
        <v>26</v>
      </c>
      <c r="K38" s="7" t="s">
        <v>29</v>
      </c>
      <c r="L38" t="s">
        <v>43</v>
      </c>
      <c r="M38" s="9">
        <v>137.19999999999999</v>
      </c>
      <c r="N38" s="4">
        <v>9</v>
      </c>
      <c r="O38" s="12">
        <v>0.1</v>
      </c>
      <c r="P38" s="9">
        <v>39.42</v>
      </c>
      <c r="Q38" s="10">
        <f>Table1[[#This Row],[Profit]]/Table1[[#This Row],[Sales]]</f>
        <v>0.28731778425655979</v>
      </c>
      <c r="R38" t="str">
        <f>IF(Table1[[#This Row],[Profit Margin]]&gt;0,"profit","loss")</f>
        <v>profit</v>
      </c>
      <c r="S38" t="str">
        <f>IF(Table1[[#This Row],[Discount]]=0,"No Discount",IF(Table1[[#This Row],[Discount]]&lt;=0.2,"low",IF(Table1[[#This Row],[Discount]]&lt;=0.3,"medium","high")))</f>
        <v>low</v>
      </c>
      <c r="T38" s="15" t="str">
        <f>IF(Table1[[#This Row],[Days]]&lt;=2,"faster",IF(Table1[[#This Row],[Days]]&lt;=4,"Normal","slow"))</f>
        <v>faster</v>
      </c>
    </row>
    <row r="39" spans="1:20" x14ac:dyDescent="0.25">
      <c r="A39" s="4" t="s">
        <v>72</v>
      </c>
      <c r="B39" s="1">
        <v>45140</v>
      </c>
      <c r="C39" s="1">
        <v>45145</v>
      </c>
      <c r="D39" s="13">
        <f>Table1[[#This Row],[Shipped date]]-Table1[[#This Row],[Order Date]]</f>
        <v>5</v>
      </c>
      <c r="E39" t="s">
        <v>13</v>
      </c>
      <c r="F39" s="13" t="str">
        <f>TEXT(Table1[[#This Row],[Order Date]],"MMMM")</f>
        <v>August</v>
      </c>
      <c r="G39" s="13">
        <f t="shared" si="0"/>
        <v>2023</v>
      </c>
      <c r="H39" s="13" t="str">
        <f t="shared" si="1"/>
        <v>Q3</v>
      </c>
      <c r="I39" s="1" t="s">
        <v>14</v>
      </c>
      <c r="J39" s="7" t="s">
        <v>26</v>
      </c>
      <c r="K39" s="7" t="s">
        <v>29</v>
      </c>
      <c r="L39" t="s">
        <v>45</v>
      </c>
      <c r="M39" s="9">
        <v>727.29</v>
      </c>
      <c r="N39" s="4">
        <v>6</v>
      </c>
      <c r="O39" s="12">
        <v>0.2</v>
      </c>
      <c r="P39" s="9">
        <v>-38.76</v>
      </c>
      <c r="Q39" s="10">
        <f>Table1[[#This Row],[Profit]]/Table1[[#This Row],[Sales]]</f>
        <v>-5.3293734273810997E-2</v>
      </c>
      <c r="R39" t="str">
        <f>IF(Table1[[#This Row],[Profit Margin]]&gt;0,"profit","loss")</f>
        <v>loss</v>
      </c>
      <c r="S39" t="str">
        <f>IF(Table1[[#This Row],[Discount]]=0,"No Discount",IF(Table1[[#This Row],[Discount]]&lt;=0.2,"low",IF(Table1[[#This Row],[Discount]]&lt;=0.3,"medium","high")))</f>
        <v>low</v>
      </c>
      <c r="T39" s="15" t="str">
        <f>IF(Table1[[#This Row],[Days]]&lt;=2,"faster",IF(Table1[[#This Row],[Days]]&lt;=4,"Normal","slow"))</f>
        <v>slow</v>
      </c>
    </row>
    <row r="40" spans="1:20" x14ac:dyDescent="0.25">
      <c r="A40" s="4" t="s">
        <v>73</v>
      </c>
      <c r="B40" s="1">
        <v>45103</v>
      </c>
      <c r="C40" s="1">
        <v>45108</v>
      </c>
      <c r="D40" s="13">
        <f>Table1[[#This Row],[Shipped date]]-Table1[[#This Row],[Order Date]]</f>
        <v>5</v>
      </c>
      <c r="E40" t="s">
        <v>25</v>
      </c>
      <c r="F40" s="13" t="str">
        <f>TEXT(Table1[[#This Row],[Order Date]],"MMMM")</f>
        <v>June</v>
      </c>
      <c r="G40" s="13">
        <f t="shared" si="0"/>
        <v>2023</v>
      </c>
      <c r="H40" s="13" t="str">
        <f t="shared" si="1"/>
        <v>Q2</v>
      </c>
      <c r="I40" s="1" t="s">
        <v>20</v>
      </c>
      <c r="J40" s="7" t="s">
        <v>15</v>
      </c>
      <c r="K40" s="7" t="s">
        <v>29</v>
      </c>
      <c r="L40" t="s">
        <v>45</v>
      </c>
      <c r="M40" s="9">
        <v>503.92</v>
      </c>
      <c r="N40" s="4">
        <v>4</v>
      </c>
      <c r="O40" s="12">
        <v>0</v>
      </c>
      <c r="P40" s="9">
        <v>80.14</v>
      </c>
      <c r="Q40" s="10">
        <f>Table1[[#This Row],[Profit]]/Table1[[#This Row],[Sales]]</f>
        <v>0.1590331798698206</v>
      </c>
      <c r="R40" t="str">
        <f>IF(Table1[[#This Row],[Profit Margin]]&gt;0,"profit","loss")</f>
        <v>profit</v>
      </c>
      <c r="S40" t="str">
        <f>IF(Table1[[#This Row],[Discount]]=0,"No Discount",IF(Table1[[#This Row],[Discount]]&lt;=0.2,"low",IF(Table1[[#This Row],[Discount]]&lt;=0.3,"medium","high")))</f>
        <v>No Discount</v>
      </c>
      <c r="T40" s="15" t="str">
        <f>IF(Table1[[#This Row],[Days]]&lt;=2,"faster",IF(Table1[[#This Row],[Days]]&lt;=4,"Normal","slow"))</f>
        <v>slow</v>
      </c>
    </row>
    <row r="41" spans="1:20" x14ac:dyDescent="0.25">
      <c r="A41" s="4" t="s">
        <v>74</v>
      </c>
      <c r="B41" s="1">
        <v>44997</v>
      </c>
      <c r="C41" s="1">
        <v>44998</v>
      </c>
      <c r="D41" s="13">
        <f>Table1[[#This Row],[Shipped date]]-Table1[[#This Row],[Order Date]]</f>
        <v>1</v>
      </c>
      <c r="E41" t="s">
        <v>19</v>
      </c>
      <c r="F41" s="13" t="str">
        <f>TEXT(Table1[[#This Row],[Order Date]],"MMMM")</f>
        <v>March</v>
      </c>
      <c r="G41" s="13">
        <f t="shared" si="0"/>
        <v>2023</v>
      </c>
      <c r="H41" s="13" t="str">
        <f t="shared" si="1"/>
        <v>Q1</v>
      </c>
      <c r="I41" s="1" t="s">
        <v>14</v>
      </c>
      <c r="J41" s="7" t="s">
        <v>15</v>
      </c>
      <c r="K41" s="7" t="s">
        <v>22</v>
      </c>
      <c r="L41" t="s">
        <v>40</v>
      </c>
      <c r="M41" s="9">
        <v>128.66999999999999</v>
      </c>
      <c r="N41" s="4">
        <v>4</v>
      </c>
      <c r="O41" s="12">
        <v>0.3</v>
      </c>
      <c r="P41" s="9">
        <v>-38.18</v>
      </c>
      <c r="Q41" s="10">
        <f>Table1[[#This Row],[Profit]]/Table1[[#This Row],[Sales]]</f>
        <v>-0.29672806403979174</v>
      </c>
      <c r="R41" t="str">
        <f>IF(Table1[[#This Row],[Profit Margin]]&gt;0,"profit","loss")</f>
        <v>loss</v>
      </c>
      <c r="S41" t="str">
        <f>IF(Table1[[#This Row],[Discount]]=0,"No Discount",IF(Table1[[#This Row],[Discount]]&lt;=0.2,"low",IF(Table1[[#This Row],[Discount]]&lt;=0.3,"medium","high")))</f>
        <v>medium</v>
      </c>
      <c r="T41" s="15" t="str">
        <f>IF(Table1[[#This Row],[Days]]&lt;=2,"faster",IF(Table1[[#This Row],[Days]]&lt;=4,"Normal","slow"))</f>
        <v>faster</v>
      </c>
    </row>
    <row r="42" spans="1:20" x14ac:dyDescent="0.25">
      <c r="A42" s="4" t="s">
        <v>75</v>
      </c>
      <c r="B42" s="1">
        <v>45138</v>
      </c>
      <c r="C42" s="1">
        <v>45142</v>
      </c>
      <c r="D42" s="13">
        <f>Table1[[#This Row],[Shipped date]]-Table1[[#This Row],[Order Date]]</f>
        <v>4</v>
      </c>
      <c r="E42" t="s">
        <v>25</v>
      </c>
      <c r="F42" s="13" t="str">
        <f>TEXT(Table1[[#This Row],[Order Date]],"MMMM")</f>
        <v>July</v>
      </c>
      <c r="G42" s="13">
        <f t="shared" si="0"/>
        <v>2023</v>
      </c>
      <c r="H42" s="13" t="str">
        <f t="shared" si="1"/>
        <v>Q3</v>
      </c>
      <c r="I42" s="1" t="s">
        <v>14</v>
      </c>
      <c r="J42" s="7" t="s">
        <v>15</v>
      </c>
      <c r="K42" s="7" t="s">
        <v>22</v>
      </c>
      <c r="L42" t="s">
        <v>23</v>
      </c>
      <c r="M42" s="9">
        <v>50.8</v>
      </c>
      <c r="N42" s="4">
        <v>4</v>
      </c>
      <c r="O42" s="12">
        <v>0.2</v>
      </c>
      <c r="P42" s="9">
        <v>8.1999999999999993</v>
      </c>
      <c r="Q42" s="10">
        <f>Table1[[#This Row],[Profit]]/Table1[[#This Row],[Sales]]</f>
        <v>0.16141732283464566</v>
      </c>
      <c r="R42" t="str">
        <f>IF(Table1[[#This Row],[Profit Margin]]&gt;0,"profit","loss")</f>
        <v>profit</v>
      </c>
      <c r="S42" t="str">
        <f>IF(Table1[[#This Row],[Discount]]=0,"No Discount",IF(Table1[[#This Row],[Discount]]&lt;=0.2,"low",IF(Table1[[#This Row],[Discount]]&lt;=0.3,"medium","high")))</f>
        <v>low</v>
      </c>
      <c r="T42" s="15" t="str">
        <f>IF(Table1[[#This Row],[Days]]&lt;=2,"faster",IF(Table1[[#This Row],[Days]]&lt;=4,"Normal","slow"))</f>
        <v>Normal</v>
      </c>
    </row>
    <row r="43" spans="1:20" x14ac:dyDescent="0.25">
      <c r="A43" s="4" t="s">
        <v>76</v>
      </c>
      <c r="B43" s="1">
        <v>44981</v>
      </c>
      <c r="C43" s="1">
        <v>44987</v>
      </c>
      <c r="D43" s="13">
        <f>Table1[[#This Row],[Shipped date]]-Table1[[#This Row],[Order Date]]</f>
        <v>6</v>
      </c>
      <c r="E43" t="s">
        <v>13</v>
      </c>
      <c r="F43" s="13" t="str">
        <f>TEXT(Table1[[#This Row],[Order Date]],"MMMM")</f>
        <v>February</v>
      </c>
      <c r="G43" s="13">
        <f t="shared" si="0"/>
        <v>2023</v>
      </c>
      <c r="H43" s="13" t="str">
        <f t="shared" si="1"/>
        <v>Q1</v>
      </c>
      <c r="I43" s="1" t="s">
        <v>37</v>
      </c>
      <c r="J43" s="7" t="s">
        <v>21</v>
      </c>
      <c r="K43" s="7" t="s">
        <v>22</v>
      </c>
      <c r="L43" t="s">
        <v>40</v>
      </c>
      <c r="M43" s="9">
        <v>572.01</v>
      </c>
      <c r="N43" s="4">
        <v>5</v>
      </c>
      <c r="O43" s="12">
        <v>0.3</v>
      </c>
      <c r="P43" s="9">
        <v>-70.87</v>
      </c>
      <c r="Q43" s="10">
        <f>Table1[[#This Row],[Profit]]/Table1[[#This Row],[Sales]]</f>
        <v>-0.12389643537700391</v>
      </c>
      <c r="R43" t="str">
        <f>IF(Table1[[#This Row],[Profit Margin]]&gt;0,"profit","loss")</f>
        <v>loss</v>
      </c>
      <c r="S43" t="str">
        <f>IF(Table1[[#This Row],[Discount]]=0,"No Discount",IF(Table1[[#This Row],[Discount]]&lt;=0.2,"low",IF(Table1[[#This Row],[Discount]]&lt;=0.3,"medium","high")))</f>
        <v>medium</v>
      </c>
      <c r="T43" s="15" t="str">
        <f>IF(Table1[[#This Row],[Days]]&lt;=2,"faster",IF(Table1[[#This Row],[Days]]&lt;=4,"Normal","slow"))</f>
        <v>slow</v>
      </c>
    </row>
    <row r="44" spans="1:20" x14ac:dyDescent="0.25">
      <c r="A44" s="4" t="s">
        <v>77</v>
      </c>
      <c r="B44" s="1">
        <v>45240</v>
      </c>
      <c r="C44" s="1">
        <v>45244</v>
      </c>
      <c r="D44" s="13">
        <f>Table1[[#This Row],[Shipped date]]-Table1[[#This Row],[Order Date]]</f>
        <v>4</v>
      </c>
      <c r="E44" t="s">
        <v>19</v>
      </c>
      <c r="F44" s="13" t="str">
        <f>TEXT(Table1[[#This Row],[Order Date]],"MMMM")</f>
        <v>November</v>
      </c>
      <c r="G44" s="13">
        <f t="shared" si="0"/>
        <v>2023</v>
      </c>
      <c r="H44" s="13" t="str">
        <f t="shared" si="1"/>
        <v>Q4</v>
      </c>
      <c r="I44" s="1" t="s">
        <v>14</v>
      </c>
      <c r="J44" s="7" t="s">
        <v>15</v>
      </c>
      <c r="K44" s="7" t="s">
        <v>22</v>
      </c>
      <c r="L44" t="s">
        <v>23</v>
      </c>
      <c r="M44" s="9">
        <v>264.31</v>
      </c>
      <c r="N44" s="4">
        <v>5</v>
      </c>
      <c r="O44" s="12">
        <v>0</v>
      </c>
      <c r="P44" s="9">
        <v>44.22</v>
      </c>
      <c r="Q44" s="10">
        <f>Table1[[#This Row],[Profit]]/Table1[[#This Row],[Sales]]</f>
        <v>0.16730354507964132</v>
      </c>
      <c r="R44" t="str">
        <f>IF(Table1[[#This Row],[Profit Margin]]&gt;0,"profit","loss")</f>
        <v>profit</v>
      </c>
      <c r="S44" t="str">
        <f>IF(Table1[[#This Row],[Discount]]=0,"No Discount",IF(Table1[[#This Row],[Discount]]&lt;=0.2,"low",IF(Table1[[#This Row],[Discount]]&lt;=0.3,"medium","high")))</f>
        <v>No Discount</v>
      </c>
      <c r="T44" s="15" t="str">
        <f>IF(Table1[[#This Row],[Days]]&lt;=2,"faster",IF(Table1[[#This Row],[Days]]&lt;=4,"Normal","slow"))</f>
        <v>Normal</v>
      </c>
    </row>
    <row r="45" spans="1:20" x14ac:dyDescent="0.25">
      <c r="A45" s="4" t="s">
        <v>78</v>
      </c>
      <c r="B45" s="1">
        <v>44934</v>
      </c>
      <c r="C45" s="1">
        <v>44937</v>
      </c>
      <c r="D45" s="13">
        <f>Table1[[#This Row],[Shipped date]]-Table1[[#This Row],[Order Date]]</f>
        <v>3</v>
      </c>
      <c r="E45" t="s">
        <v>13</v>
      </c>
      <c r="F45" s="13" t="str">
        <f>TEXT(Table1[[#This Row],[Order Date]],"MMMM")</f>
        <v>January</v>
      </c>
      <c r="G45" s="13">
        <f t="shared" si="0"/>
        <v>2023</v>
      </c>
      <c r="H45" s="13" t="str">
        <f t="shared" si="1"/>
        <v>Q1</v>
      </c>
      <c r="I45" s="1" t="s">
        <v>20</v>
      </c>
      <c r="J45" s="7" t="s">
        <v>15</v>
      </c>
      <c r="K45" s="7" t="s">
        <v>29</v>
      </c>
      <c r="L45" t="s">
        <v>43</v>
      </c>
      <c r="M45" s="9">
        <v>219</v>
      </c>
      <c r="N45" s="4">
        <v>4</v>
      </c>
      <c r="O45" s="12">
        <v>0</v>
      </c>
      <c r="P45" s="9">
        <v>7.29</v>
      </c>
      <c r="Q45" s="10">
        <f>Table1[[#This Row],[Profit]]/Table1[[#This Row],[Sales]]</f>
        <v>3.3287671232876716E-2</v>
      </c>
      <c r="R45" t="str">
        <f>IF(Table1[[#This Row],[Profit Margin]]&gt;0,"profit","loss")</f>
        <v>profit</v>
      </c>
      <c r="S45" t="str">
        <f>IF(Table1[[#This Row],[Discount]]=0,"No Discount",IF(Table1[[#This Row],[Discount]]&lt;=0.2,"low",IF(Table1[[#This Row],[Discount]]&lt;=0.3,"medium","high")))</f>
        <v>No Discount</v>
      </c>
      <c r="T45" s="15" t="str">
        <f>IF(Table1[[#This Row],[Days]]&lt;=2,"faster",IF(Table1[[#This Row],[Days]]&lt;=4,"Normal","slow"))</f>
        <v>Normal</v>
      </c>
    </row>
    <row r="46" spans="1:20" x14ac:dyDescent="0.25">
      <c r="A46" s="4" t="s">
        <v>79</v>
      </c>
      <c r="B46" s="1">
        <v>44969</v>
      </c>
      <c r="C46" s="1">
        <v>44974</v>
      </c>
      <c r="D46" s="13">
        <f>Table1[[#This Row],[Shipped date]]-Table1[[#This Row],[Order Date]]</f>
        <v>5</v>
      </c>
      <c r="E46" t="s">
        <v>13</v>
      </c>
      <c r="F46" s="13" t="str">
        <f>TEXT(Table1[[#This Row],[Order Date]],"MMMM")</f>
        <v>February</v>
      </c>
      <c r="G46" s="13">
        <f t="shared" si="0"/>
        <v>2023</v>
      </c>
      <c r="H46" s="13" t="str">
        <f t="shared" si="1"/>
        <v>Q1</v>
      </c>
      <c r="I46" s="1" t="s">
        <v>14</v>
      </c>
      <c r="J46" s="7" t="s">
        <v>32</v>
      </c>
      <c r="K46" s="7" t="s">
        <v>29</v>
      </c>
      <c r="L46" t="s">
        <v>43</v>
      </c>
      <c r="M46" s="9">
        <v>303.95999999999998</v>
      </c>
      <c r="N46" s="4">
        <v>7</v>
      </c>
      <c r="O46" s="12">
        <v>0.1</v>
      </c>
      <c r="P46" s="9">
        <v>41.63</v>
      </c>
      <c r="Q46" s="10">
        <f>Table1[[#This Row],[Profit]]/Table1[[#This Row],[Sales]]</f>
        <v>0.13695881036978552</v>
      </c>
      <c r="R46" t="str">
        <f>IF(Table1[[#This Row],[Profit Margin]]&gt;0,"profit","loss")</f>
        <v>profit</v>
      </c>
      <c r="S46" t="str">
        <f>IF(Table1[[#This Row],[Discount]]=0,"No Discount",IF(Table1[[#This Row],[Discount]]&lt;=0.2,"low",IF(Table1[[#This Row],[Discount]]&lt;=0.3,"medium","high")))</f>
        <v>low</v>
      </c>
      <c r="T46" s="15" t="str">
        <f>IF(Table1[[#This Row],[Days]]&lt;=2,"faster",IF(Table1[[#This Row],[Days]]&lt;=4,"Normal","slow"))</f>
        <v>slow</v>
      </c>
    </row>
    <row r="47" spans="1:20" x14ac:dyDescent="0.25">
      <c r="A47" s="4" t="s">
        <v>80</v>
      </c>
      <c r="B47" s="1">
        <v>45107</v>
      </c>
      <c r="C47" s="1">
        <v>45109</v>
      </c>
      <c r="D47" s="13">
        <f>Table1[[#This Row],[Shipped date]]-Table1[[#This Row],[Order Date]]</f>
        <v>2</v>
      </c>
      <c r="E47" t="s">
        <v>28</v>
      </c>
      <c r="F47" s="13" t="str">
        <f>TEXT(Table1[[#This Row],[Order Date]],"MMMM")</f>
        <v>June</v>
      </c>
      <c r="G47" s="13">
        <f t="shared" si="0"/>
        <v>2023</v>
      </c>
      <c r="H47" s="13" t="str">
        <f t="shared" si="1"/>
        <v>Q2</v>
      </c>
      <c r="I47" s="1" t="s">
        <v>20</v>
      </c>
      <c r="J47" s="7" t="s">
        <v>21</v>
      </c>
      <c r="K47" s="7" t="s">
        <v>22</v>
      </c>
      <c r="L47" t="s">
        <v>23</v>
      </c>
      <c r="M47" s="9">
        <v>631.87</v>
      </c>
      <c r="N47" s="4">
        <v>5</v>
      </c>
      <c r="O47" s="12">
        <v>0.1</v>
      </c>
      <c r="P47" s="9">
        <v>24.34</v>
      </c>
      <c r="Q47" s="10">
        <f>Table1[[#This Row],[Profit]]/Table1[[#This Row],[Sales]]</f>
        <v>3.8520581765236518E-2</v>
      </c>
      <c r="R47" t="str">
        <f>IF(Table1[[#This Row],[Profit Margin]]&gt;0,"profit","loss")</f>
        <v>profit</v>
      </c>
      <c r="S47" t="str">
        <f>IF(Table1[[#This Row],[Discount]]=0,"No Discount",IF(Table1[[#This Row],[Discount]]&lt;=0.2,"low",IF(Table1[[#This Row],[Discount]]&lt;=0.3,"medium","high")))</f>
        <v>low</v>
      </c>
      <c r="T47" s="15" t="str">
        <f>IF(Table1[[#This Row],[Days]]&lt;=2,"faster",IF(Table1[[#This Row],[Days]]&lt;=4,"Normal","slow"))</f>
        <v>faster</v>
      </c>
    </row>
    <row r="48" spans="1:20" x14ac:dyDescent="0.25">
      <c r="A48" s="4" t="s">
        <v>81</v>
      </c>
      <c r="B48" s="1">
        <v>45256</v>
      </c>
      <c r="C48" s="1">
        <v>45260</v>
      </c>
      <c r="D48" s="13">
        <f>Table1[[#This Row],[Shipped date]]-Table1[[#This Row],[Order Date]]</f>
        <v>4</v>
      </c>
      <c r="E48" t="s">
        <v>28</v>
      </c>
      <c r="F48" s="13" t="str">
        <f>TEXT(Table1[[#This Row],[Order Date]],"MMMM")</f>
        <v>November</v>
      </c>
      <c r="G48" s="13">
        <f t="shared" si="0"/>
        <v>2023</v>
      </c>
      <c r="H48" s="13" t="str">
        <f t="shared" si="1"/>
        <v>Q4</v>
      </c>
      <c r="I48" s="1" t="s">
        <v>14</v>
      </c>
      <c r="J48" s="7" t="s">
        <v>26</v>
      </c>
      <c r="K48" s="7" t="s">
        <v>16</v>
      </c>
      <c r="L48" t="s">
        <v>38</v>
      </c>
      <c r="M48" s="9">
        <v>874.03</v>
      </c>
      <c r="N48" s="4">
        <v>4</v>
      </c>
      <c r="O48" s="12">
        <v>0.3</v>
      </c>
      <c r="P48" s="9">
        <v>-179.52</v>
      </c>
      <c r="Q48" s="10">
        <f>Table1[[#This Row],[Profit]]/Table1[[#This Row],[Sales]]</f>
        <v>-0.20539340754893998</v>
      </c>
      <c r="R48" t="str">
        <f>IF(Table1[[#This Row],[Profit Margin]]&gt;0,"profit","loss")</f>
        <v>loss</v>
      </c>
      <c r="S48" t="str">
        <f>IF(Table1[[#This Row],[Discount]]=0,"No Discount",IF(Table1[[#This Row],[Discount]]&lt;=0.2,"low",IF(Table1[[#This Row],[Discount]]&lt;=0.3,"medium","high")))</f>
        <v>medium</v>
      </c>
      <c r="T48" s="15" t="str">
        <f>IF(Table1[[#This Row],[Days]]&lt;=2,"faster",IF(Table1[[#This Row],[Days]]&lt;=4,"Normal","slow"))</f>
        <v>Normal</v>
      </c>
    </row>
    <row r="49" spans="1:20" x14ac:dyDescent="0.25">
      <c r="A49" s="4" t="s">
        <v>82</v>
      </c>
      <c r="B49" s="1">
        <v>44952</v>
      </c>
      <c r="C49" s="1">
        <v>44953</v>
      </c>
      <c r="D49" s="13">
        <f>Table1[[#This Row],[Shipped date]]-Table1[[#This Row],[Order Date]]</f>
        <v>1</v>
      </c>
      <c r="E49" t="s">
        <v>28</v>
      </c>
      <c r="F49" s="13" t="str">
        <f>TEXT(Table1[[#This Row],[Order Date]],"MMMM")</f>
        <v>January</v>
      </c>
      <c r="G49" s="13">
        <f t="shared" si="0"/>
        <v>2023</v>
      </c>
      <c r="H49" s="13" t="str">
        <f t="shared" si="1"/>
        <v>Q1</v>
      </c>
      <c r="I49" s="1" t="s">
        <v>37</v>
      </c>
      <c r="J49" s="7" t="s">
        <v>26</v>
      </c>
      <c r="K49" s="7" t="s">
        <v>16</v>
      </c>
      <c r="L49" t="s">
        <v>38</v>
      </c>
      <c r="M49" s="9">
        <v>428.18</v>
      </c>
      <c r="N49" s="4">
        <v>9</v>
      </c>
      <c r="O49" s="12">
        <v>0.1</v>
      </c>
      <c r="P49" s="9">
        <v>17.75</v>
      </c>
      <c r="Q49" s="10">
        <f>Table1[[#This Row],[Profit]]/Table1[[#This Row],[Sales]]</f>
        <v>4.1454528469335325E-2</v>
      </c>
      <c r="R49" t="str">
        <f>IF(Table1[[#This Row],[Profit Margin]]&gt;0,"profit","loss")</f>
        <v>profit</v>
      </c>
      <c r="S49" t="str">
        <f>IF(Table1[[#This Row],[Discount]]=0,"No Discount",IF(Table1[[#This Row],[Discount]]&lt;=0.2,"low",IF(Table1[[#This Row],[Discount]]&lt;=0.3,"medium","high")))</f>
        <v>low</v>
      </c>
      <c r="T49" s="15" t="str">
        <f>IF(Table1[[#This Row],[Days]]&lt;=2,"faster",IF(Table1[[#This Row],[Days]]&lt;=4,"Normal","slow"))</f>
        <v>faster</v>
      </c>
    </row>
    <row r="50" spans="1:20" x14ac:dyDescent="0.25">
      <c r="A50" s="4" t="s">
        <v>83</v>
      </c>
      <c r="B50" s="1">
        <v>45007</v>
      </c>
      <c r="C50" s="1">
        <v>45011</v>
      </c>
      <c r="D50" s="13">
        <f>Table1[[#This Row],[Shipped date]]-Table1[[#This Row],[Order Date]]</f>
        <v>4</v>
      </c>
      <c r="E50" t="s">
        <v>19</v>
      </c>
      <c r="F50" s="13" t="str">
        <f>TEXT(Table1[[#This Row],[Order Date]],"MMMM")</f>
        <v>March</v>
      </c>
      <c r="G50" s="13">
        <f t="shared" si="0"/>
        <v>2023</v>
      </c>
      <c r="H50" s="13" t="str">
        <f t="shared" si="1"/>
        <v>Q1</v>
      </c>
      <c r="I50" s="1" t="s">
        <v>37</v>
      </c>
      <c r="J50" s="7" t="s">
        <v>21</v>
      </c>
      <c r="K50" s="7" t="s">
        <v>29</v>
      </c>
      <c r="L50" t="s">
        <v>30</v>
      </c>
      <c r="M50" s="9">
        <v>811.29</v>
      </c>
      <c r="N50" s="4">
        <v>3</v>
      </c>
      <c r="O50" s="12">
        <v>0.3</v>
      </c>
      <c r="P50" s="9">
        <v>-157.32</v>
      </c>
      <c r="Q50" s="10">
        <f>Table1[[#This Row],[Profit]]/Table1[[#This Row],[Sales]]</f>
        <v>-0.19391339718226527</v>
      </c>
      <c r="R50" t="str">
        <f>IF(Table1[[#This Row],[Profit Margin]]&gt;0,"profit","loss")</f>
        <v>loss</v>
      </c>
      <c r="S50" t="str">
        <f>IF(Table1[[#This Row],[Discount]]=0,"No Discount",IF(Table1[[#This Row],[Discount]]&lt;=0.2,"low",IF(Table1[[#This Row],[Discount]]&lt;=0.3,"medium","high")))</f>
        <v>medium</v>
      </c>
      <c r="T50" s="15" t="str">
        <f>IF(Table1[[#This Row],[Days]]&lt;=2,"faster",IF(Table1[[#This Row],[Days]]&lt;=4,"Normal","slow"))</f>
        <v>Normal</v>
      </c>
    </row>
    <row r="51" spans="1:20" x14ac:dyDescent="0.25">
      <c r="A51" s="4" t="s">
        <v>84</v>
      </c>
      <c r="B51" s="1">
        <v>44993</v>
      </c>
      <c r="C51" s="1">
        <v>44996</v>
      </c>
      <c r="D51" s="13">
        <f>Table1[[#This Row],[Shipped date]]-Table1[[#This Row],[Order Date]]</f>
        <v>3</v>
      </c>
      <c r="E51" t="s">
        <v>25</v>
      </c>
      <c r="F51" s="13" t="str">
        <f>TEXT(Table1[[#This Row],[Order Date]],"MMMM")</f>
        <v>March</v>
      </c>
      <c r="G51" s="13">
        <f t="shared" si="0"/>
        <v>2023</v>
      </c>
      <c r="H51" s="13" t="str">
        <f t="shared" si="1"/>
        <v>Q1</v>
      </c>
      <c r="I51" s="1" t="s">
        <v>20</v>
      </c>
      <c r="J51" s="7" t="s">
        <v>15</v>
      </c>
      <c r="K51" s="7" t="s">
        <v>16</v>
      </c>
      <c r="L51" t="s">
        <v>38</v>
      </c>
      <c r="M51" s="9">
        <v>908.69</v>
      </c>
      <c r="N51" s="4">
        <v>8</v>
      </c>
      <c r="O51" s="12">
        <v>0</v>
      </c>
      <c r="P51" s="9">
        <v>86.82</v>
      </c>
      <c r="Q51" s="10">
        <f>Table1[[#This Row],[Profit]]/Table1[[#This Row],[Sales]]</f>
        <v>9.5544134963518892E-2</v>
      </c>
      <c r="R51" t="str">
        <f>IF(Table1[[#This Row],[Profit Margin]]&gt;0,"profit","loss")</f>
        <v>profit</v>
      </c>
      <c r="S51" t="str">
        <f>IF(Table1[[#This Row],[Discount]]=0,"No Discount",IF(Table1[[#This Row],[Discount]]&lt;=0.2,"low",IF(Table1[[#This Row],[Discount]]&lt;=0.3,"medium","high")))</f>
        <v>No Discount</v>
      </c>
      <c r="T51" s="15" t="str">
        <f>IF(Table1[[#This Row],[Days]]&lt;=2,"faster",IF(Table1[[#This Row],[Days]]&lt;=4,"Normal","slow"))</f>
        <v>Normal</v>
      </c>
    </row>
    <row r="52" spans="1:20" x14ac:dyDescent="0.25">
      <c r="A52" s="4" t="s">
        <v>85</v>
      </c>
      <c r="B52" s="1">
        <v>45233</v>
      </c>
      <c r="C52" s="1">
        <v>45236</v>
      </c>
      <c r="D52" s="13">
        <f>Table1[[#This Row],[Shipped date]]-Table1[[#This Row],[Order Date]]</f>
        <v>3</v>
      </c>
      <c r="E52" t="s">
        <v>28</v>
      </c>
      <c r="F52" s="13" t="str">
        <f>TEXT(Table1[[#This Row],[Order Date]],"MMMM")</f>
        <v>November</v>
      </c>
      <c r="G52" s="13">
        <f t="shared" si="0"/>
        <v>2023</v>
      </c>
      <c r="H52" s="13" t="str">
        <f t="shared" si="1"/>
        <v>Q4</v>
      </c>
      <c r="I52" s="1" t="s">
        <v>14</v>
      </c>
      <c r="J52" s="7" t="s">
        <v>26</v>
      </c>
      <c r="K52" s="7" t="s">
        <v>16</v>
      </c>
      <c r="L52" t="s">
        <v>17</v>
      </c>
      <c r="M52" s="9">
        <v>438.57</v>
      </c>
      <c r="N52" s="4">
        <v>3</v>
      </c>
      <c r="O52" s="12">
        <v>0.3</v>
      </c>
      <c r="P52" s="9">
        <v>-83.03</v>
      </c>
      <c r="Q52" s="10">
        <f>Table1[[#This Row],[Profit]]/Table1[[#This Row],[Sales]]</f>
        <v>-0.18931983491802906</v>
      </c>
      <c r="R52" t="str">
        <f>IF(Table1[[#This Row],[Profit Margin]]&gt;0,"profit","loss")</f>
        <v>loss</v>
      </c>
      <c r="S52" t="str">
        <f>IF(Table1[[#This Row],[Discount]]=0,"No Discount",IF(Table1[[#This Row],[Discount]]&lt;=0.2,"low",IF(Table1[[#This Row],[Discount]]&lt;=0.3,"medium","high")))</f>
        <v>medium</v>
      </c>
      <c r="T52" s="15" t="str">
        <f>IF(Table1[[#This Row],[Days]]&lt;=2,"faster",IF(Table1[[#This Row],[Days]]&lt;=4,"Normal","slow"))</f>
        <v>Normal</v>
      </c>
    </row>
    <row r="53" spans="1:20" x14ac:dyDescent="0.25">
      <c r="A53" s="4" t="s">
        <v>86</v>
      </c>
      <c r="B53" s="1">
        <v>44940</v>
      </c>
      <c r="C53" s="1">
        <v>44947</v>
      </c>
      <c r="D53" s="13">
        <f>Table1[[#This Row],[Shipped date]]-Table1[[#This Row],[Order Date]]</f>
        <v>7</v>
      </c>
      <c r="E53" t="s">
        <v>19</v>
      </c>
      <c r="F53" s="13" t="str">
        <f>TEXT(Table1[[#This Row],[Order Date]],"MMMM")</f>
        <v>January</v>
      </c>
      <c r="G53" s="13">
        <f t="shared" si="0"/>
        <v>2023</v>
      </c>
      <c r="H53" s="13" t="str">
        <f t="shared" si="1"/>
        <v>Q1</v>
      </c>
      <c r="I53" s="1" t="s">
        <v>14</v>
      </c>
      <c r="J53" s="7" t="s">
        <v>15</v>
      </c>
      <c r="K53" s="7" t="s">
        <v>16</v>
      </c>
      <c r="L53" t="s">
        <v>38</v>
      </c>
      <c r="M53" s="9">
        <v>318.69</v>
      </c>
      <c r="N53" s="4">
        <v>10</v>
      </c>
      <c r="O53" s="12">
        <v>0.1</v>
      </c>
      <c r="P53" s="9">
        <v>15.75</v>
      </c>
      <c r="Q53" s="10">
        <f>Table1[[#This Row],[Profit]]/Table1[[#This Row],[Sales]]</f>
        <v>4.9421067495057897E-2</v>
      </c>
      <c r="R53" t="str">
        <f>IF(Table1[[#This Row],[Profit Margin]]&gt;0,"profit","loss")</f>
        <v>profit</v>
      </c>
      <c r="S53" t="str">
        <f>IF(Table1[[#This Row],[Discount]]=0,"No Discount",IF(Table1[[#This Row],[Discount]]&lt;=0.2,"low",IF(Table1[[#This Row],[Discount]]&lt;=0.3,"medium","high")))</f>
        <v>low</v>
      </c>
      <c r="T53" s="15" t="str">
        <f>IF(Table1[[#This Row],[Days]]&lt;=2,"faster",IF(Table1[[#This Row],[Days]]&lt;=4,"Normal","slow"))</f>
        <v>slow</v>
      </c>
    </row>
    <row r="54" spans="1:20" x14ac:dyDescent="0.25">
      <c r="A54" s="4" t="s">
        <v>87</v>
      </c>
      <c r="B54" s="1">
        <v>44977</v>
      </c>
      <c r="C54" s="1">
        <v>44983</v>
      </c>
      <c r="D54" s="13">
        <f>Table1[[#This Row],[Shipped date]]-Table1[[#This Row],[Order Date]]</f>
        <v>6</v>
      </c>
      <c r="E54" t="s">
        <v>25</v>
      </c>
      <c r="F54" s="13" t="str">
        <f>TEXT(Table1[[#This Row],[Order Date]],"MMMM")</f>
        <v>February</v>
      </c>
      <c r="G54" s="13">
        <f t="shared" si="0"/>
        <v>2023</v>
      </c>
      <c r="H54" s="13" t="str">
        <f t="shared" si="1"/>
        <v>Q1</v>
      </c>
      <c r="I54" s="1" t="s">
        <v>14</v>
      </c>
      <c r="J54" s="7" t="s">
        <v>32</v>
      </c>
      <c r="K54" s="7" t="s">
        <v>29</v>
      </c>
      <c r="L54" t="s">
        <v>45</v>
      </c>
      <c r="M54" s="9">
        <v>429.06</v>
      </c>
      <c r="N54" s="4">
        <v>3</v>
      </c>
      <c r="O54" s="12">
        <v>0</v>
      </c>
      <c r="P54" s="9">
        <v>71.38</v>
      </c>
      <c r="Q54" s="10">
        <f>Table1[[#This Row],[Profit]]/Table1[[#This Row],[Sales]]</f>
        <v>0.16636367873957023</v>
      </c>
      <c r="R54" t="str">
        <f>IF(Table1[[#This Row],[Profit Margin]]&gt;0,"profit","loss")</f>
        <v>profit</v>
      </c>
      <c r="S54" t="str">
        <f>IF(Table1[[#This Row],[Discount]]=0,"No Discount",IF(Table1[[#This Row],[Discount]]&lt;=0.2,"low",IF(Table1[[#This Row],[Discount]]&lt;=0.3,"medium","high")))</f>
        <v>No Discount</v>
      </c>
      <c r="T54" s="15" t="str">
        <f>IF(Table1[[#This Row],[Days]]&lt;=2,"faster",IF(Table1[[#This Row],[Days]]&lt;=4,"Normal","slow"))</f>
        <v>slow</v>
      </c>
    </row>
    <row r="55" spans="1:20" x14ac:dyDescent="0.25">
      <c r="A55" s="4" t="s">
        <v>88</v>
      </c>
      <c r="B55" s="1">
        <v>44977</v>
      </c>
      <c r="C55" s="1">
        <v>44979</v>
      </c>
      <c r="D55" s="13">
        <f>Table1[[#This Row],[Shipped date]]-Table1[[#This Row],[Order Date]]</f>
        <v>2</v>
      </c>
      <c r="E55" t="s">
        <v>25</v>
      </c>
      <c r="F55" s="13" t="str">
        <f>TEXT(Table1[[#This Row],[Order Date]],"MMMM")</f>
        <v>February</v>
      </c>
      <c r="G55" s="13">
        <f t="shared" si="0"/>
        <v>2023</v>
      </c>
      <c r="H55" s="13" t="str">
        <f t="shared" si="1"/>
        <v>Q1</v>
      </c>
      <c r="I55" s="1" t="s">
        <v>14</v>
      </c>
      <c r="J55" s="7" t="s">
        <v>21</v>
      </c>
      <c r="K55" s="7" t="s">
        <v>22</v>
      </c>
      <c r="L55" t="s">
        <v>35</v>
      </c>
      <c r="M55" s="9">
        <v>284.02</v>
      </c>
      <c r="N55" s="4">
        <v>7</v>
      </c>
      <c r="O55" s="12">
        <v>0.3</v>
      </c>
      <c r="P55" s="9">
        <v>-10.8</v>
      </c>
      <c r="Q55" s="10">
        <f>Table1[[#This Row],[Profit]]/Table1[[#This Row],[Sales]]</f>
        <v>-3.802549116259419E-2</v>
      </c>
      <c r="R55" t="str">
        <f>IF(Table1[[#This Row],[Profit Margin]]&gt;0,"profit","loss")</f>
        <v>loss</v>
      </c>
      <c r="S55" t="str">
        <f>IF(Table1[[#This Row],[Discount]]=0,"No Discount",IF(Table1[[#This Row],[Discount]]&lt;=0.2,"low",IF(Table1[[#This Row],[Discount]]&lt;=0.3,"medium","high")))</f>
        <v>medium</v>
      </c>
      <c r="T55" s="15" t="str">
        <f>IF(Table1[[#This Row],[Days]]&lt;=2,"faster",IF(Table1[[#This Row],[Days]]&lt;=4,"Normal","slow"))</f>
        <v>faster</v>
      </c>
    </row>
    <row r="56" spans="1:20" x14ac:dyDescent="0.25">
      <c r="A56" s="4" t="s">
        <v>89</v>
      </c>
      <c r="B56" s="1">
        <v>45267</v>
      </c>
      <c r="C56" s="1">
        <v>45270</v>
      </c>
      <c r="D56" s="13">
        <f>Table1[[#This Row],[Shipped date]]-Table1[[#This Row],[Order Date]]</f>
        <v>3</v>
      </c>
      <c r="E56" t="s">
        <v>19</v>
      </c>
      <c r="F56" s="13" t="str">
        <f>TEXT(Table1[[#This Row],[Order Date]],"MMMM")</f>
        <v>December</v>
      </c>
      <c r="G56" s="13">
        <f t="shared" si="0"/>
        <v>2023</v>
      </c>
      <c r="H56" s="13" t="str">
        <f t="shared" si="1"/>
        <v>Q4</v>
      </c>
      <c r="I56" s="1" t="s">
        <v>14</v>
      </c>
      <c r="J56" s="7" t="s">
        <v>15</v>
      </c>
      <c r="K56" s="7" t="s">
        <v>16</v>
      </c>
      <c r="L56" t="s">
        <v>17</v>
      </c>
      <c r="M56" s="9">
        <v>336.74</v>
      </c>
      <c r="N56" s="4">
        <v>9</v>
      </c>
      <c r="O56" s="12">
        <v>0.3</v>
      </c>
      <c r="P56" s="9">
        <v>-48.28</v>
      </c>
      <c r="Q56" s="10">
        <f>Table1[[#This Row],[Profit]]/Table1[[#This Row],[Sales]]</f>
        <v>-0.14337471045910791</v>
      </c>
      <c r="R56" t="str">
        <f>IF(Table1[[#This Row],[Profit Margin]]&gt;0,"profit","loss")</f>
        <v>loss</v>
      </c>
      <c r="S56" t="str">
        <f>IF(Table1[[#This Row],[Discount]]=0,"No Discount",IF(Table1[[#This Row],[Discount]]&lt;=0.2,"low",IF(Table1[[#This Row],[Discount]]&lt;=0.3,"medium","high")))</f>
        <v>medium</v>
      </c>
      <c r="T56" s="15" t="str">
        <f>IF(Table1[[#This Row],[Days]]&lt;=2,"faster",IF(Table1[[#This Row],[Days]]&lt;=4,"Normal","slow"))</f>
        <v>Normal</v>
      </c>
    </row>
    <row r="57" spans="1:20" x14ac:dyDescent="0.25">
      <c r="A57" s="4" t="s">
        <v>90</v>
      </c>
      <c r="B57" s="1">
        <v>45252</v>
      </c>
      <c r="C57" s="1">
        <v>45254</v>
      </c>
      <c r="D57" s="13">
        <f>Table1[[#This Row],[Shipped date]]-Table1[[#This Row],[Order Date]]</f>
        <v>2</v>
      </c>
      <c r="E57" t="s">
        <v>13</v>
      </c>
      <c r="F57" s="13" t="str">
        <f>TEXT(Table1[[#This Row],[Order Date]],"MMMM")</f>
        <v>November</v>
      </c>
      <c r="G57" s="13">
        <f t="shared" si="0"/>
        <v>2023</v>
      </c>
      <c r="H57" s="13" t="str">
        <f t="shared" si="1"/>
        <v>Q4</v>
      </c>
      <c r="I57" s="1" t="s">
        <v>37</v>
      </c>
      <c r="J57" s="7" t="s">
        <v>15</v>
      </c>
      <c r="K57" s="7" t="s">
        <v>29</v>
      </c>
      <c r="L57" t="s">
        <v>30</v>
      </c>
      <c r="M57" s="9">
        <v>415.76</v>
      </c>
      <c r="N57" s="4">
        <v>1</v>
      </c>
      <c r="O57" s="12">
        <v>0.1</v>
      </c>
      <c r="P57" s="9">
        <v>48.02</v>
      </c>
      <c r="Q57" s="10">
        <f>Table1[[#This Row],[Profit]]/Table1[[#This Row],[Sales]]</f>
        <v>0.11549932653453916</v>
      </c>
      <c r="R57" t="str">
        <f>IF(Table1[[#This Row],[Profit Margin]]&gt;0,"profit","loss")</f>
        <v>profit</v>
      </c>
      <c r="S57" t="str">
        <f>IF(Table1[[#This Row],[Discount]]=0,"No Discount",IF(Table1[[#This Row],[Discount]]&lt;=0.2,"low",IF(Table1[[#This Row],[Discount]]&lt;=0.3,"medium","high")))</f>
        <v>low</v>
      </c>
      <c r="T57" s="15" t="str">
        <f>IF(Table1[[#This Row],[Days]]&lt;=2,"faster",IF(Table1[[#This Row],[Days]]&lt;=4,"Normal","slow"))</f>
        <v>faster</v>
      </c>
    </row>
    <row r="58" spans="1:20" x14ac:dyDescent="0.25">
      <c r="A58" s="4" t="s">
        <v>91</v>
      </c>
      <c r="B58" s="1">
        <v>45048</v>
      </c>
      <c r="C58" s="1">
        <v>45053</v>
      </c>
      <c r="D58" s="13">
        <f>Table1[[#This Row],[Shipped date]]-Table1[[#This Row],[Order Date]]</f>
        <v>5</v>
      </c>
      <c r="E58" t="s">
        <v>19</v>
      </c>
      <c r="F58" s="13" t="str">
        <f>TEXT(Table1[[#This Row],[Order Date]],"MMMM")</f>
        <v>May</v>
      </c>
      <c r="G58" s="13">
        <f t="shared" si="0"/>
        <v>2023</v>
      </c>
      <c r="H58" s="13" t="str">
        <f t="shared" si="1"/>
        <v>Q2</v>
      </c>
      <c r="I58" s="1" t="s">
        <v>20</v>
      </c>
      <c r="J58" s="7" t="s">
        <v>15</v>
      </c>
      <c r="K58" s="7" t="s">
        <v>16</v>
      </c>
      <c r="L58" t="s">
        <v>33</v>
      </c>
      <c r="M58" s="9">
        <v>963.2</v>
      </c>
      <c r="N58" s="4">
        <v>1</v>
      </c>
      <c r="O58" s="12">
        <v>0.1</v>
      </c>
      <c r="P58" s="9">
        <v>28.74</v>
      </c>
      <c r="Q58" s="10">
        <f>Table1[[#This Row],[Profit]]/Table1[[#This Row],[Sales]]</f>
        <v>2.9838039867109631E-2</v>
      </c>
      <c r="R58" t="str">
        <f>IF(Table1[[#This Row],[Profit Margin]]&gt;0,"profit","loss")</f>
        <v>profit</v>
      </c>
      <c r="S58" t="str">
        <f>IF(Table1[[#This Row],[Discount]]=0,"No Discount",IF(Table1[[#This Row],[Discount]]&lt;=0.2,"low",IF(Table1[[#This Row],[Discount]]&lt;=0.3,"medium","high")))</f>
        <v>low</v>
      </c>
      <c r="T58" s="15" t="str">
        <f>IF(Table1[[#This Row],[Days]]&lt;=2,"faster",IF(Table1[[#This Row],[Days]]&lt;=4,"Normal","slow"))</f>
        <v>slow</v>
      </c>
    </row>
    <row r="59" spans="1:20" x14ac:dyDescent="0.25">
      <c r="A59" s="4" t="s">
        <v>92</v>
      </c>
      <c r="B59" s="1">
        <v>45258</v>
      </c>
      <c r="C59" s="1">
        <v>45259</v>
      </c>
      <c r="D59" s="13">
        <f>Table1[[#This Row],[Shipped date]]-Table1[[#This Row],[Order Date]]</f>
        <v>1</v>
      </c>
      <c r="E59" t="s">
        <v>13</v>
      </c>
      <c r="F59" s="13" t="str">
        <f>TEXT(Table1[[#This Row],[Order Date]],"MMMM")</f>
        <v>November</v>
      </c>
      <c r="G59" s="13">
        <f t="shared" si="0"/>
        <v>2023</v>
      </c>
      <c r="H59" s="13" t="str">
        <f t="shared" si="1"/>
        <v>Q4</v>
      </c>
      <c r="I59" s="1" t="s">
        <v>37</v>
      </c>
      <c r="J59" s="7" t="s">
        <v>21</v>
      </c>
      <c r="K59" s="7" t="s">
        <v>16</v>
      </c>
      <c r="L59" t="s">
        <v>38</v>
      </c>
      <c r="M59" s="9">
        <v>718.03</v>
      </c>
      <c r="N59" s="4">
        <v>7</v>
      </c>
      <c r="O59" s="12">
        <v>0</v>
      </c>
      <c r="P59" s="9">
        <v>71.739999999999995</v>
      </c>
      <c r="Q59" s="10">
        <f>Table1[[#This Row],[Profit]]/Table1[[#This Row],[Sales]]</f>
        <v>9.9912259933428962E-2</v>
      </c>
      <c r="R59" t="str">
        <f>IF(Table1[[#This Row],[Profit Margin]]&gt;0,"profit","loss")</f>
        <v>profit</v>
      </c>
      <c r="S59" t="str">
        <f>IF(Table1[[#This Row],[Discount]]=0,"No Discount",IF(Table1[[#This Row],[Discount]]&lt;=0.2,"low",IF(Table1[[#This Row],[Discount]]&lt;=0.3,"medium","high")))</f>
        <v>No Discount</v>
      </c>
      <c r="T59" s="15" t="str">
        <f>IF(Table1[[#This Row],[Days]]&lt;=2,"faster",IF(Table1[[#This Row],[Days]]&lt;=4,"Normal","slow"))</f>
        <v>faster</v>
      </c>
    </row>
    <row r="60" spans="1:20" x14ac:dyDescent="0.25">
      <c r="A60" s="4" t="s">
        <v>93</v>
      </c>
      <c r="B60" s="1">
        <v>45145</v>
      </c>
      <c r="C60" s="1">
        <v>45152</v>
      </c>
      <c r="D60" s="13">
        <f>Table1[[#This Row],[Shipped date]]-Table1[[#This Row],[Order Date]]</f>
        <v>7</v>
      </c>
      <c r="E60" t="s">
        <v>25</v>
      </c>
      <c r="F60" s="13" t="str">
        <f>TEXT(Table1[[#This Row],[Order Date]],"MMMM")</f>
        <v>August</v>
      </c>
      <c r="G60" s="13">
        <f t="shared" si="0"/>
        <v>2023</v>
      </c>
      <c r="H60" s="13" t="str">
        <f t="shared" si="1"/>
        <v>Q3</v>
      </c>
      <c r="I60" s="1" t="s">
        <v>14</v>
      </c>
      <c r="J60" s="7" t="s">
        <v>26</v>
      </c>
      <c r="K60" s="7" t="s">
        <v>29</v>
      </c>
      <c r="L60" t="s">
        <v>43</v>
      </c>
      <c r="M60" s="9">
        <v>56.15</v>
      </c>
      <c r="N60" s="4">
        <v>5</v>
      </c>
      <c r="O60" s="12">
        <v>0</v>
      </c>
      <c r="P60" s="9">
        <v>53.98</v>
      </c>
      <c r="Q60" s="10">
        <f>Table1[[#This Row],[Profit]]/Table1[[#This Row],[Sales]]</f>
        <v>0.96135351736420305</v>
      </c>
      <c r="R60" t="str">
        <f>IF(Table1[[#This Row],[Profit Margin]]&gt;0,"profit","loss")</f>
        <v>profit</v>
      </c>
      <c r="S60" t="str">
        <f>IF(Table1[[#This Row],[Discount]]=0,"No Discount",IF(Table1[[#This Row],[Discount]]&lt;=0.2,"low",IF(Table1[[#This Row],[Discount]]&lt;=0.3,"medium","high")))</f>
        <v>No Discount</v>
      </c>
      <c r="T60" s="15" t="str">
        <f>IF(Table1[[#This Row],[Days]]&lt;=2,"faster",IF(Table1[[#This Row],[Days]]&lt;=4,"Normal","slow"))</f>
        <v>slow</v>
      </c>
    </row>
    <row r="61" spans="1:20" x14ac:dyDescent="0.25">
      <c r="A61" s="4" t="s">
        <v>94</v>
      </c>
      <c r="B61" s="1">
        <v>45141</v>
      </c>
      <c r="C61" s="1">
        <v>45143</v>
      </c>
      <c r="D61" s="13">
        <f>Table1[[#This Row],[Shipped date]]-Table1[[#This Row],[Order Date]]</f>
        <v>2</v>
      </c>
      <c r="E61" t="s">
        <v>19</v>
      </c>
      <c r="F61" s="13" t="str">
        <f>TEXT(Table1[[#This Row],[Order Date]],"MMMM")</f>
        <v>August</v>
      </c>
      <c r="G61" s="13">
        <f t="shared" si="0"/>
        <v>2023</v>
      </c>
      <c r="H61" s="13" t="str">
        <f t="shared" si="1"/>
        <v>Q3</v>
      </c>
      <c r="I61" s="1" t="s">
        <v>20</v>
      </c>
      <c r="J61" s="7" t="s">
        <v>32</v>
      </c>
      <c r="K61" s="7" t="s">
        <v>22</v>
      </c>
      <c r="L61" t="s">
        <v>35</v>
      </c>
      <c r="M61" s="9">
        <v>422.82</v>
      </c>
      <c r="N61" s="4">
        <v>7</v>
      </c>
      <c r="O61" s="12">
        <v>0.2</v>
      </c>
      <c r="P61" s="9">
        <v>-42.78</v>
      </c>
      <c r="Q61" s="10">
        <f>Table1[[#This Row],[Profit]]/Table1[[#This Row],[Sales]]</f>
        <v>-0.10117780615864908</v>
      </c>
      <c r="R61" t="str">
        <f>IF(Table1[[#This Row],[Profit Margin]]&gt;0,"profit","loss")</f>
        <v>loss</v>
      </c>
      <c r="S61" t="str">
        <f>IF(Table1[[#This Row],[Discount]]=0,"No Discount",IF(Table1[[#This Row],[Discount]]&lt;=0.2,"low",IF(Table1[[#This Row],[Discount]]&lt;=0.3,"medium","high")))</f>
        <v>low</v>
      </c>
      <c r="T61" s="15" t="str">
        <f>IF(Table1[[#This Row],[Days]]&lt;=2,"faster",IF(Table1[[#This Row],[Days]]&lt;=4,"Normal","slow"))</f>
        <v>faster</v>
      </c>
    </row>
    <row r="62" spans="1:20" x14ac:dyDescent="0.25">
      <c r="A62" s="4" t="s">
        <v>95</v>
      </c>
      <c r="B62" s="1">
        <v>44931</v>
      </c>
      <c r="C62" s="1">
        <v>44938</v>
      </c>
      <c r="D62" s="13">
        <f>Table1[[#This Row],[Shipped date]]-Table1[[#This Row],[Order Date]]</f>
        <v>7</v>
      </c>
      <c r="E62" t="s">
        <v>13</v>
      </c>
      <c r="F62" s="13" t="str">
        <f>TEXT(Table1[[#This Row],[Order Date]],"MMMM")</f>
        <v>January</v>
      </c>
      <c r="G62" s="13">
        <f t="shared" si="0"/>
        <v>2023</v>
      </c>
      <c r="H62" s="13" t="str">
        <f t="shared" si="1"/>
        <v>Q1</v>
      </c>
      <c r="I62" s="1" t="s">
        <v>20</v>
      </c>
      <c r="J62" s="7" t="s">
        <v>21</v>
      </c>
      <c r="K62" s="7" t="s">
        <v>16</v>
      </c>
      <c r="L62" t="s">
        <v>38</v>
      </c>
      <c r="M62" s="9">
        <v>910.1</v>
      </c>
      <c r="N62" s="4">
        <v>6</v>
      </c>
      <c r="O62" s="12">
        <v>0.2</v>
      </c>
      <c r="P62" s="9">
        <v>-63.36</v>
      </c>
      <c r="Q62" s="10">
        <f>Table1[[#This Row],[Profit]]/Table1[[#This Row],[Sales]]</f>
        <v>-6.9618723217228867E-2</v>
      </c>
      <c r="R62" t="str">
        <f>IF(Table1[[#This Row],[Profit Margin]]&gt;0,"profit","loss")</f>
        <v>loss</v>
      </c>
      <c r="S62" t="str">
        <f>IF(Table1[[#This Row],[Discount]]=0,"No Discount",IF(Table1[[#This Row],[Discount]]&lt;=0.2,"low",IF(Table1[[#This Row],[Discount]]&lt;=0.3,"medium","high")))</f>
        <v>low</v>
      </c>
      <c r="T62" s="15" t="str">
        <f>IF(Table1[[#This Row],[Days]]&lt;=2,"faster",IF(Table1[[#This Row],[Days]]&lt;=4,"Normal","slow"))</f>
        <v>slow</v>
      </c>
    </row>
    <row r="63" spans="1:20" x14ac:dyDescent="0.25">
      <c r="A63" s="4" t="s">
        <v>96</v>
      </c>
      <c r="B63" s="1">
        <v>45165</v>
      </c>
      <c r="C63" s="1">
        <v>45171</v>
      </c>
      <c r="D63" s="13">
        <f>Table1[[#This Row],[Shipped date]]-Table1[[#This Row],[Order Date]]</f>
        <v>6</v>
      </c>
      <c r="E63" t="s">
        <v>13</v>
      </c>
      <c r="F63" s="13" t="str">
        <f>TEXT(Table1[[#This Row],[Order Date]],"MMMM")</f>
        <v>August</v>
      </c>
      <c r="G63" s="13">
        <f t="shared" si="0"/>
        <v>2023</v>
      </c>
      <c r="H63" s="13" t="str">
        <f t="shared" si="1"/>
        <v>Q3</v>
      </c>
      <c r="I63" s="1" t="s">
        <v>20</v>
      </c>
      <c r="J63" s="7" t="s">
        <v>15</v>
      </c>
      <c r="K63" s="7" t="s">
        <v>16</v>
      </c>
      <c r="L63" t="s">
        <v>33</v>
      </c>
      <c r="M63" s="9">
        <v>540.32000000000005</v>
      </c>
      <c r="N63" s="4">
        <v>2</v>
      </c>
      <c r="O63" s="12">
        <v>0.1</v>
      </c>
      <c r="P63" s="9">
        <v>49</v>
      </c>
      <c r="Q63" s="10">
        <f>Table1[[#This Row],[Profit]]/Table1[[#This Row],[Sales]]</f>
        <v>9.0687000296120812E-2</v>
      </c>
      <c r="R63" t="str">
        <f>IF(Table1[[#This Row],[Profit Margin]]&gt;0,"profit","loss")</f>
        <v>profit</v>
      </c>
      <c r="S63" t="str">
        <f>IF(Table1[[#This Row],[Discount]]=0,"No Discount",IF(Table1[[#This Row],[Discount]]&lt;=0.2,"low",IF(Table1[[#This Row],[Discount]]&lt;=0.3,"medium","high")))</f>
        <v>low</v>
      </c>
      <c r="T63" s="15" t="str">
        <f>IF(Table1[[#This Row],[Days]]&lt;=2,"faster",IF(Table1[[#This Row],[Days]]&lt;=4,"Normal","slow"))</f>
        <v>slow</v>
      </c>
    </row>
    <row r="64" spans="1:20" x14ac:dyDescent="0.25">
      <c r="A64" s="4" t="s">
        <v>97</v>
      </c>
      <c r="B64" s="1">
        <v>45082</v>
      </c>
      <c r="C64" s="1">
        <v>45085</v>
      </c>
      <c r="D64" s="13">
        <f>Table1[[#This Row],[Shipped date]]-Table1[[#This Row],[Order Date]]</f>
        <v>3</v>
      </c>
      <c r="E64" t="s">
        <v>19</v>
      </c>
      <c r="F64" s="13" t="str">
        <f>TEXT(Table1[[#This Row],[Order Date]],"MMMM")</f>
        <v>June</v>
      </c>
      <c r="G64" s="13">
        <f t="shared" si="0"/>
        <v>2023</v>
      </c>
      <c r="H64" s="13" t="str">
        <f t="shared" si="1"/>
        <v>Q2</v>
      </c>
      <c r="I64" s="1" t="s">
        <v>20</v>
      </c>
      <c r="J64" s="7" t="s">
        <v>21</v>
      </c>
      <c r="K64" s="7" t="s">
        <v>29</v>
      </c>
      <c r="L64" t="s">
        <v>30</v>
      </c>
      <c r="M64" s="9">
        <v>257.20999999999998</v>
      </c>
      <c r="N64" s="4">
        <v>1</v>
      </c>
      <c r="O64" s="12">
        <v>0.3</v>
      </c>
      <c r="P64" s="9">
        <v>-65.78</v>
      </c>
      <c r="Q64" s="10">
        <f>Table1[[#This Row],[Profit]]/Table1[[#This Row],[Sales]]</f>
        <v>-0.2557443334240504</v>
      </c>
      <c r="R64" t="str">
        <f>IF(Table1[[#This Row],[Profit Margin]]&gt;0,"profit","loss")</f>
        <v>loss</v>
      </c>
      <c r="S64" t="str">
        <f>IF(Table1[[#This Row],[Discount]]=0,"No Discount",IF(Table1[[#This Row],[Discount]]&lt;=0.2,"low",IF(Table1[[#This Row],[Discount]]&lt;=0.3,"medium","high")))</f>
        <v>medium</v>
      </c>
      <c r="T64" s="15" t="str">
        <f>IF(Table1[[#This Row],[Days]]&lt;=2,"faster",IF(Table1[[#This Row],[Days]]&lt;=4,"Normal","slow"))</f>
        <v>Normal</v>
      </c>
    </row>
    <row r="65" spans="1:20" x14ac:dyDescent="0.25">
      <c r="A65" s="4" t="s">
        <v>98</v>
      </c>
      <c r="B65" s="1">
        <v>45210</v>
      </c>
      <c r="C65" s="1">
        <v>45216</v>
      </c>
      <c r="D65" s="13">
        <f>Table1[[#This Row],[Shipped date]]-Table1[[#This Row],[Order Date]]</f>
        <v>6</v>
      </c>
      <c r="E65" t="s">
        <v>25</v>
      </c>
      <c r="F65" s="13" t="str">
        <f>TEXT(Table1[[#This Row],[Order Date]],"MMMM")</f>
        <v>October</v>
      </c>
      <c r="G65" s="13">
        <f t="shared" si="0"/>
        <v>2023</v>
      </c>
      <c r="H65" s="13" t="str">
        <f t="shared" si="1"/>
        <v>Q4</v>
      </c>
      <c r="I65" s="1" t="s">
        <v>37</v>
      </c>
      <c r="J65" s="7" t="s">
        <v>21</v>
      </c>
      <c r="K65" s="7" t="s">
        <v>29</v>
      </c>
      <c r="L65" t="s">
        <v>45</v>
      </c>
      <c r="M65" s="9">
        <v>382.26</v>
      </c>
      <c r="N65" s="4">
        <v>5</v>
      </c>
      <c r="O65" s="12">
        <v>0</v>
      </c>
      <c r="P65" s="9">
        <v>69.2</v>
      </c>
      <c r="Q65" s="10">
        <f>Table1[[#This Row],[Profit]]/Table1[[#This Row],[Sales]]</f>
        <v>0.18102861926437505</v>
      </c>
      <c r="R65" t="str">
        <f>IF(Table1[[#This Row],[Profit Margin]]&gt;0,"profit","loss")</f>
        <v>profit</v>
      </c>
      <c r="S65" t="str">
        <f>IF(Table1[[#This Row],[Discount]]=0,"No Discount",IF(Table1[[#This Row],[Discount]]&lt;=0.2,"low",IF(Table1[[#This Row],[Discount]]&lt;=0.3,"medium","high")))</f>
        <v>No Discount</v>
      </c>
      <c r="T65" s="15" t="str">
        <f>IF(Table1[[#This Row],[Days]]&lt;=2,"faster",IF(Table1[[#This Row],[Days]]&lt;=4,"Normal","slow"))</f>
        <v>slow</v>
      </c>
    </row>
    <row r="66" spans="1:20" x14ac:dyDescent="0.25">
      <c r="A66" s="4" t="s">
        <v>99</v>
      </c>
      <c r="B66" s="1">
        <v>45048</v>
      </c>
      <c r="C66" s="1">
        <v>45052</v>
      </c>
      <c r="D66" s="13">
        <f>Table1[[#This Row],[Shipped date]]-Table1[[#This Row],[Order Date]]</f>
        <v>4</v>
      </c>
      <c r="E66" t="s">
        <v>28</v>
      </c>
      <c r="F66" s="13" t="str">
        <f>TEXT(Table1[[#This Row],[Order Date]],"MMMM")</f>
        <v>May</v>
      </c>
      <c r="G66" s="13">
        <f t="shared" si="0"/>
        <v>2023</v>
      </c>
      <c r="H66" s="13" t="str">
        <f t="shared" si="1"/>
        <v>Q2</v>
      </c>
      <c r="I66" s="1" t="s">
        <v>20</v>
      </c>
      <c r="J66" s="7" t="s">
        <v>26</v>
      </c>
      <c r="K66" s="7" t="s">
        <v>29</v>
      </c>
      <c r="L66" t="s">
        <v>45</v>
      </c>
      <c r="M66" s="9">
        <v>380.43</v>
      </c>
      <c r="N66" s="4">
        <v>7</v>
      </c>
      <c r="O66" s="12">
        <v>0.3</v>
      </c>
      <c r="P66" s="9">
        <v>-27.25</v>
      </c>
      <c r="Q66" s="10">
        <f>Table1[[#This Row],[Profit]]/Table1[[#This Row],[Sales]]</f>
        <v>-7.1629471913361192E-2</v>
      </c>
      <c r="R66" t="str">
        <f>IF(Table1[[#This Row],[Profit Margin]]&gt;0,"profit","loss")</f>
        <v>loss</v>
      </c>
      <c r="S66" t="str">
        <f>IF(Table1[[#This Row],[Discount]]=0,"No Discount",IF(Table1[[#This Row],[Discount]]&lt;=0.2,"low",IF(Table1[[#This Row],[Discount]]&lt;=0.3,"medium","high")))</f>
        <v>medium</v>
      </c>
      <c r="T66" s="15" t="str">
        <f>IF(Table1[[#This Row],[Days]]&lt;=2,"faster",IF(Table1[[#This Row],[Days]]&lt;=4,"Normal","slow"))</f>
        <v>Normal</v>
      </c>
    </row>
    <row r="67" spans="1:20" x14ac:dyDescent="0.25">
      <c r="A67" s="4" t="s">
        <v>100</v>
      </c>
      <c r="B67" s="1">
        <v>45187</v>
      </c>
      <c r="C67" s="1">
        <v>45191</v>
      </c>
      <c r="D67" s="13">
        <f>Table1[[#This Row],[Shipped date]]-Table1[[#This Row],[Order Date]]</f>
        <v>4</v>
      </c>
      <c r="E67" t="s">
        <v>28</v>
      </c>
      <c r="F67" s="13" t="str">
        <f>TEXT(Table1[[#This Row],[Order Date]],"MMMM")</f>
        <v>September</v>
      </c>
      <c r="G67" s="13">
        <f t="shared" ref="G67:G130" si="2">YEAR(B67)</f>
        <v>2023</v>
      </c>
      <c r="H67" s="13" t="str">
        <f t="shared" ref="H67:H130" si="3">"Q" &amp;ROUNDUP(MONTH(B67)/3,0)</f>
        <v>Q3</v>
      </c>
      <c r="I67" s="1" t="s">
        <v>37</v>
      </c>
      <c r="J67" s="7" t="s">
        <v>21</v>
      </c>
      <c r="K67" s="7" t="s">
        <v>29</v>
      </c>
      <c r="L67" t="s">
        <v>45</v>
      </c>
      <c r="M67" s="9">
        <v>410.85</v>
      </c>
      <c r="N67" s="4">
        <v>9</v>
      </c>
      <c r="O67" s="12">
        <v>0.2</v>
      </c>
      <c r="P67" s="9">
        <v>-54.76</v>
      </c>
      <c r="Q67" s="10">
        <f>Table1[[#This Row],[Profit]]/Table1[[#This Row],[Sales]]</f>
        <v>-0.13328465376658147</v>
      </c>
      <c r="R67" t="str">
        <f>IF(Table1[[#This Row],[Profit Margin]]&gt;0,"profit","loss")</f>
        <v>loss</v>
      </c>
      <c r="S67" t="str">
        <f>IF(Table1[[#This Row],[Discount]]=0,"No Discount",IF(Table1[[#This Row],[Discount]]&lt;=0.2,"low",IF(Table1[[#This Row],[Discount]]&lt;=0.3,"medium","high")))</f>
        <v>low</v>
      </c>
      <c r="T67" s="15" t="str">
        <f>IF(Table1[[#This Row],[Days]]&lt;=2,"faster",IF(Table1[[#This Row],[Days]]&lt;=4,"Normal","slow"))</f>
        <v>Normal</v>
      </c>
    </row>
    <row r="68" spans="1:20" x14ac:dyDescent="0.25">
      <c r="A68" s="4" t="s">
        <v>101</v>
      </c>
      <c r="B68" s="1">
        <v>45224</v>
      </c>
      <c r="C68" s="1">
        <v>45226</v>
      </c>
      <c r="D68" s="13">
        <f>Table1[[#This Row],[Shipped date]]-Table1[[#This Row],[Order Date]]</f>
        <v>2</v>
      </c>
      <c r="E68" t="s">
        <v>28</v>
      </c>
      <c r="F68" s="13" t="str">
        <f>TEXT(Table1[[#This Row],[Order Date]],"MMMM")</f>
        <v>October</v>
      </c>
      <c r="G68" s="13">
        <f t="shared" si="2"/>
        <v>2023</v>
      </c>
      <c r="H68" s="13" t="str">
        <f t="shared" si="3"/>
        <v>Q4</v>
      </c>
      <c r="I68" s="1" t="s">
        <v>20</v>
      </c>
      <c r="J68" s="7" t="s">
        <v>32</v>
      </c>
      <c r="K68" s="7" t="s">
        <v>22</v>
      </c>
      <c r="L68" t="s">
        <v>35</v>
      </c>
      <c r="M68" s="9">
        <v>838.6</v>
      </c>
      <c r="N68" s="4">
        <v>2</v>
      </c>
      <c r="O68" s="12">
        <v>0.3</v>
      </c>
      <c r="P68" s="9">
        <v>-152.15</v>
      </c>
      <c r="Q68" s="10">
        <f>Table1[[#This Row],[Profit]]/Table1[[#This Row],[Sales]]</f>
        <v>-0.18143334128309085</v>
      </c>
      <c r="R68" t="str">
        <f>IF(Table1[[#This Row],[Profit Margin]]&gt;0,"profit","loss")</f>
        <v>loss</v>
      </c>
      <c r="S68" t="str">
        <f>IF(Table1[[#This Row],[Discount]]=0,"No Discount",IF(Table1[[#This Row],[Discount]]&lt;=0.2,"low",IF(Table1[[#This Row],[Discount]]&lt;=0.3,"medium","high")))</f>
        <v>medium</v>
      </c>
      <c r="T68" s="15" t="str">
        <f>IF(Table1[[#This Row],[Days]]&lt;=2,"faster",IF(Table1[[#This Row],[Days]]&lt;=4,"Normal","slow"))</f>
        <v>faster</v>
      </c>
    </row>
    <row r="69" spans="1:20" x14ac:dyDescent="0.25">
      <c r="A69" s="4" t="s">
        <v>102</v>
      </c>
      <c r="B69" s="1">
        <v>45171</v>
      </c>
      <c r="C69" s="1">
        <v>45174</v>
      </c>
      <c r="D69" s="13">
        <f>Table1[[#This Row],[Shipped date]]-Table1[[#This Row],[Order Date]]</f>
        <v>3</v>
      </c>
      <c r="E69" t="s">
        <v>28</v>
      </c>
      <c r="F69" s="13" t="str">
        <f>TEXT(Table1[[#This Row],[Order Date]],"MMMM")</f>
        <v>September</v>
      </c>
      <c r="G69" s="13">
        <f t="shared" si="2"/>
        <v>2023</v>
      </c>
      <c r="H69" s="13" t="str">
        <f t="shared" si="3"/>
        <v>Q3</v>
      </c>
      <c r="I69" s="1" t="s">
        <v>37</v>
      </c>
      <c r="J69" s="7" t="s">
        <v>26</v>
      </c>
      <c r="K69" s="7" t="s">
        <v>16</v>
      </c>
      <c r="L69" t="s">
        <v>17</v>
      </c>
      <c r="M69" s="9">
        <v>701.9</v>
      </c>
      <c r="N69" s="4">
        <v>2</v>
      </c>
      <c r="O69" s="12">
        <v>0.2</v>
      </c>
      <c r="P69" s="9">
        <v>-48.83</v>
      </c>
      <c r="Q69" s="10">
        <f>Table1[[#This Row],[Profit]]/Table1[[#This Row],[Sales]]</f>
        <v>-6.9568314574725745E-2</v>
      </c>
      <c r="R69" t="str">
        <f>IF(Table1[[#This Row],[Profit Margin]]&gt;0,"profit","loss")</f>
        <v>loss</v>
      </c>
      <c r="S69" t="str">
        <f>IF(Table1[[#This Row],[Discount]]=0,"No Discount",IF(Table1[[#This Row],[Discount]]&lt;=0.2,"low",IF(Table1[[#This Row],[Discount]]&lt;=0.3,"medium","high")))</f>
        <v>low</v>
      </c>
      <c r="T69" s="15" t="str">
        <f>IF(Table1[[#This Row],[Days]]&lt;=2,"faster",IF(Table1[[#This Row],[Days]]&lt;=4,"Normal","slow"))</f>
        <v>Normal</v>
      </c>
    </row>
    <row r="70" spans="1:20" x14ac:dyDescent="0.25">
      <c r="A70" s="4" t="s">
        <v>103</v>
      </c>
      <c r="B70" s="1">
        <v>45024</v>
      </c>
      <c r="C70" s="1">
        <v>45029</v>
      </c>
      <c r="D70" s="13">
        <f>Table1[[#This Row],[Shipped date]]-Table1[[#This Row],[Order Date]]</f>
        <v>5</v>
      </c>
      <c r="E70" t="s">
        <v>19</v>
      </c>
      <c r="F70" s="13" t="str">
        <f>TEXT(Table1[[#This Row],[Order Date]],"MMMM")</f>
        <v>April</v>
      </c>
      <c r="G70" s="13">
        <f t="shared" si="2"/>
        <v>2023</v>
      </c>
      <c r="H70" s="13" t="str">
        <f t="shared" si="3"/>
        <v>Q2</v>
      </c>
      <c r="I70" s="1" t="s">
        <v>14</v>
      </c>
      <c r="J70" s="7" t="s">
        <v>21</v>
      </c>
      <c r="K70" s="7" t="s">
        <v>16</v>
      </c>
      <c r="L70" t="s">
        <v>33</v>
      </c>
      <c r="M70" s="9">
        <v>684.01</v>
      </c>
      <c r="N70" s="4">
        <v>3</v>
      </c>
      <c r="O70" s="12">
        <v>0.2</v>
      </c>
      <c r="P70" s="9">
        <v>-38.619999999999997</v>
      </c>
      <c r="Q70" s="10">
        <f>Table1[[#This Row],[Profit]]/Table1[[#This Row],[Sales]]</f>
        <v>-5.6461162848496366E-2</v>
      </c>
      <c r="R70" t="str">
        <f>IF(Table1[[#This Row],[Profit Margin]]&gt;0,"profit","loss")</f>
        <v>loss</v>
      </c>
      <c r="S70" t="str">
        <f>IF(Table1[[#This Row],[Discount]]=0,"No Discount",IF(Table1[[#This Row],[Discount]]&lt;=0.2,"low",IF(Table1[[#This Row],[Discount]]&lt;=0.3,"medium","high")))</f>
        <v>low</v>
      </c>
      <c r="T70" s="15" t="str">
        <f>IF(Table1[[#This Row],[Days]]&lt;=2,"faster",IF(Table1[[#This Row],[Days]]&lt;=4,"Normal","slow"))</f>
        <v>slow</v>
      </c>
    </row>
    <row r="71" spans="1:20" x14ac:dyDescent="0.25">
      <c r="A71" s="4" t="s">
        <v>104</v>
      </c>
      <c r="B71" s="1">
        <v>45215</v>
      </c>
      <c r="C71" s="1">
        <v>45218</v>
      </c>
      <c r="D71" s="13">
        <f>Table1[[#This Row],[Shipped date]]-Table1[[#This Row],[Order Date]]</f>
        <v>3</v>
      </c>
      <c r="E71" t="s">
        <v>19</v>
      </c>
      <c r="F71" s="13" t="str">
        <f>TEXT(Table1[[#This Row],[Order Date]],"MMMM")</f>
        <v>October</v>
      </c>
      <c r="G71" s="13">
        <f t="shared" si="2"/>
        <v>2023</v>
      </c>
      <c r="H71" s="13" t="str">
        <f t="shared" si="3"/>
        <v>Q4</v>
      </c>
      <c r="I71" s="1" t="s">
        <v>20</v>
      </c>
      <c r="J71" s="7" t="s">
        <v>32</v>
      </c>
      <c r="K71" s="7" t="s">
        <v>22</v>
      </c>
      <c r="L71" t="s">
        <v>35</v>
      </c>
      <c r="M71" s="9">
        <v>813.31</v>
      </c>
      <c r="N71" s="4">
        <v>1</v>
      </c>
      <c r="O71" s="12">
        <v>0.3</v>
      </c>
      <c r="P71" s="9">
        <v>-137.5</v>
      </c>
      <c r="Q71" s="10">
        <f>Table1[[#This Row],[Profit]]/Table1[[#This Row],[Sales]]</f>
        <v>-0.16906222719504249</v>
      </c>
      <c r="R71" t="str">
        <f>IF(Table1[[#This Row],[Profit Margin]]&gt;0,"profit","loss")</f>
        <v>loss</v>
      </c>
      <c r="S71" t="str">
        <f>IF(Table1[[#This Row],[Discount]]=0,"No Discount",IF(Table1[[#This Row],[Discount]]&lt;=0.2,"low",IF(Table1[[#This Row],[Discount]]&lt;=0.3,"medium","high")))</f>
        <v>medium</v>
      </c>
      <c r="T71" s="15" t="str">
        <f>IF(Table1[[#This Row],[Days]]&lt;=2,"faster",IF(Table1[[#This Row],[Days]]&lt;=4,"Normal","slow"))</f>
        <v>Normal</v>
      </c>
    </row>
    <row r="72" spans="1:20" x14ac:dyDescent="0.25">
      <c r="A72" s="4" t="s">
        <v>105</v>
      </c>
      <c r="B72" s="1">
        <v>45215</v>
      </c>
      <c r="C72" s="1">
        <v>45216</v>
      </c>
      <c r="D72" s="13">
        <f>Table1[[#This Row],[Shipped date]]-Table1[[#This Row],[Order Date]]</f>
        <v>1</v>
      </c>
      <c r="E72" t="s">
        <v>28</v>
      </c>
      <c r="F72" s="13" t="str">
        <f>TEXT(Table1[[#This Row],[Order Date]],"MMMM")</f>
        <v>October</v>
      </c>
      <c r="G72" s="13">
        <f t="shared" si="2"/>
        <v>2023</v>
      </c>
      <c r="H72" s="13" t="str">
        <f t="shared" si="3"/>
        <v>Q4</v>
      </c>
      <c r="I72" s="1" t="s">
        <v>37</v>
      </c>
      <c r="J72" s="7" t="s">
        <v>26</v>
      </c>
      <c r="K72" s="7" t="s">
        <v>29</v>
      </c>
      <c r="L72" t="s">
        <v>30</v>
      </c>
      <c r="M72" s="9">
        <v>190.88</v>
      </c>
      <c r="N72" s="4">
        <v>1</v>
      </c>
      <c r="O72" s="12">
        <v>0</v>
      </c>
      <c r="P72" s="9">
        <v>26.92</v>
      </c>
      <c r="Q72" s="10">
        <f>Table1[[#This Row],[Profit]]/Table1[[#This Row],[Sales]]</f>
        <v>0.14103101424979045</v>
      </c>
      <c r="R72" t="str">
        <f>IF(Table1[[#This Row],[Profit Margin]]&gt;0,"profit","loss")</f>
        <v>profit</v>
      </c>
      <c r="S72" t="str">
        <f>IF(Table1[[#This Row],[Discount]]=0,"No Discount",IF(Table1[[#This Row],[Discount]]&lt;=0.2,"low",IF(Table1[[#This Row],[Discount]]&lt;=0.3,"medium","high")))</f>
        <v>No Discount</v>
      </c>
      <c r="T72" s="15" t="str">
        <f>IF(Table1[[#This Row],[Days]]&lt;=2,"faster",IF(Table1[[#This Row],[Days]]&lt;=4,"Normal","slow"))</f>
        <v>faster</v>
      </c>
    </row>
    <row r="73" spans="1:20" x14ac:dyDescent="0.25">
      <c r="A73" s="4" t="s">
        <v>106</v>
      </c>
      <c r="B73" s="1">
        <v>45027</v>
      </c>
      <c r="C73" s="1">
        <v>45031</v>
      </c>
      <c r="D73" s="13">
        <f>Table1[[#This Row],[Shipped date]]-Table1[[#This Row],[Order Date]]</f>
        <v>4</v>
      </c>
      <c r="E73" t="s">
        <v>28</v>
      </c>
      <c r="F73" s="13" t="str">
        <f>TEXT(Table1[[#This Row],[Order Date]],"MMMM")</f>
        <v>April</v>
      </c>
      <c r="G73" s="13">
        <f t="shared" si="2"/>
        <v>2023</v>
      </c>
      <c r="H73" s="13" t="str">
        <f t="shared" si="3"/>
        <v>Q2</v>
      </c>
      <c r="I73" s="1" t="s">
        <v>14</v>
      </c>
      <c r="J73" s="7" t="s">
        <v>32</v>
      </c>
      <c r="K73" s="7" t="s">
        <v>22</v>
      </c>
      <c r="L73" t="s">
        <v>35</v>
      </c>
      <c r="M73" s="9">
        <v>527.4</v>
      </c>
      <c r="N73" s="4">
        <v>5</v>
      </c>
      <c r="O73" s="12">
        <v>0.3</v>
      </c>
      <c r="P73" s="9">
        <v>-115.85</v>
      </c>
      <c r="Q73" s="10">
        <f>Table1[[#This Row],[Profit]]/Table1[[#This Row],[Sales]]</f>
        <v>-0.21966249525976489</v>
      </c>
      <c r="R73" t="str">
        <f>IF(Table1[[#This Row],[Profit Margin]]&gt;0,"profit","loss")</f>
        <v>loss</v>
      </c>
      <c r="S73" t="str">
        <f>IF(Table1[[#This Row],[Discount]]=0,"No Discount",IF(Table1[[#This Row],[Discount]]&lt;=0.2,"low",IF(Table1[[#This Row],[Discount]]&lt;=0.3,"medium","high")))</f>
        <v>medium</v>
      </c>
      <c r="T73" s="15" t="str">
        <f>IF(Table1[[#This Row],[Days]]&lt;=2,"faster",IF(Table1[[#This Row],[Days]]&lt;=4,"Normal","slow"))</f>
        <v>Normal</v>
      </c>
    </row>
    <row r="74" spans="1:20" x14ac:dyDescent="0.25">
      <c r="A74" s="4" t="s">
        <v>107</v>
      </c>
      <c r="B74" s="1">
        <v>44951</v>
      </c>
      <c r="C74" s="1">
        <v>44958</v>
      </c>
      <c r="D74" s="13">
        <f>Table1[[#This Row],[Shipped date]]-Table1[[#This Row],[Order Date]]</f>
        <v>7</v>
      </c>
      <c r="E74" t="s">
        <v>25</v>
      </c>
      <c r="F74" s="13" t="str">
        <f>TEXT(Table1[[#This Row],[Order Date]],"MMMM")</f>
        <v>January</v>
      </c>
      <c r="G74" s="13">
        <f t="shared" si="2"/>
        <v>2023</v>
      </c>
      <c r="H74" s="13" t="str">
        <f t="shared" si="3"/>
        <v>Q1</v>
      </c>
      <c r="I74" s="1" t="s">
        <v>14</v>
      </c>
      <c r="J74" s="7" t="s">
        <v>21</v>
      </c>
      <c r="K74" s="7" t="s">
        <v>16</v>
      </c>
      <c r="L74" t="s">
        <v>33</v>
      </c>
      <c r="M74" s="9">
        <v>354.25</v>
      </c>
      <c r="N74" s="4">
        <v>5</v>
      </c>
      <c r="O74" s="12">
        <v>0</v>
      </c>
      <c r="P74" s="9">
        <v>30.06</v>
      </c>
      <c r="Q74" s="10">
        <f>Table1[[#This Row],[Profit]]/Table1[[#This Row],[Sales]]</f>
        <v>8.4855328158080445E-2</v>
      </c>
      <c r="R74" t="str">
        <f>IF(Table1[[#This Row],[Profit Margin]]&gt;0,"profit","loss")</f>
        <v>profit</v>
      </c>
      <c r="S74" t="str">
        <f>IF(Table1[[#This Row],[Discount]]=0,"No Discount",IF(Table1[[#This Row],[Discount]]&lt;=0.2,"low",IF(Table1[[#This Row],[Discount]]&lt;=0.3,"medium","high")))</f>
        <v>No Discount</v>
      </c>
      <c r="T74" s="15" t="str">
        <f>IF(Table1[[#This Row],[Days]]&lt;=2,"faster",IF(Table1[[#This Row],[Days]]&lt;=4,"Normal","slow"))</f>
        <v>slow</v>
      </c>
    </row>
    <row r="75" spans="1:20" x14ac:dyDescent="0.25">
      <c r="A75" s="4" t="s">
        <v>108</v>
      </c>
      <c r="B75" s="1">
        <v>45005</v>
      </c>
      <c r="C75" s="1">
        <v>45011</v>
      </c>
      <c r="D75" s="13">
        <f>Table1[[#This Row],[Shipped date]]-Table1[[#This Row],[Order Date]]</f>
        <v>6</v>
      </c>
      <c r="E75" t="s">
        <v>28</v>
      </c>
      <c r="F75" s="13" t="str">
        <f>TEXT(Table1[[#This Row],[Order Date]],"MMMM")</f>
        <v>March</v>
      </c>
      <c r="G75" s="13">
        <f t="shared" si="2"/>
        <v>2023</v>
      </c>
      <c r="H75" s="13" t="str">
        <f t="shared" si="3"/>
        <v>Q1</v>
      </c>
      <c r="I75" s="1" t="s">
        <v>14</v>
      </c>
      <c r="J75" s="7" t="s">
        <v>21</v>
      </c>
      <c r="K75" s="7" t="s">
        <v>29</v>
      </c>
      <c r="L75" t="s">
        <v>43</v>
      </c>
      <c r="M75" s="9">
        <v>550.62</v>
      </c>
      <c r="N75" s="4">
        <v>9</v>
      </c>
      <c r="O75" s="12">
        <v>0.1</v>
      </c>
      <c r="P75" s="9">
        <v>-1.94</v>
      </c>
      <c r="Q75" s="10">
        <f>Table1[[#This Row],[Profit]]/Table1[[#This Row],[Sales]]</f>
        <v>-3.5233010061385345E-3</v>
      </c>
      <c r="R75" t="str">
        <f>IF(Table1[[#This Row],[Profit Margin]]&gt;0,"profit","loss")</f>
        <v>loss</v>
      </c>
      <c r="S75" t="str">
        <f>IF(Table1[[#This Row],[Discount]]=0,"No Discount",IF(Table1[[#This Row],[Discount]]&lt;=0.2,"low",IF(Table1[[#This Row],[Discount]]&lt;=0.3,"medium","high")))</f>
        <v>low</v>
      </c>
      <c r="T75" s="15" t="str">
        <f>IF(Table1[[#This Row],[Days]]&lt;=2,"faster",IF(Table1[[#This Row],[Days]]&lt;=4,"Normal","slow"))</f>
        <v>slow</v>
      </c>
    </row>
    <row r="76" spans="1:20" x14ac:dyDescent="0.25">
      <c r="A76" s="4" t="s">
        <v>109</v>
      </c>
      <c r="B76" s="1">
        <v>45108</v>
      </c>
      <c r="C76" s="1">
        <v>45110</v>
      </c>
      <c r="D76" s="13">
        <f>Table1[[#This Row],[Shipped date]]-Table1[[#This Row],[Order Date]]</f>
        <v>2</v>
      </c>
      <c r="E76" t="s">
        <v>25</v>
      </c>
      <c r="F76" s="13" t="str">
        <f>TEXT(Table1[[#This Row],[Order Date]],"MMMM")</f>
        <v>July</v>
      </c>
      <c r="G76" s="13">
        <f t="shared" si="2"/>
        <v>2023</v>
      </c>
      <c r="H76" s="13" t="str">
        <f t="shared" si="3"/>
        <v>Q3</v>
      </c>
      <c r="I76" s="1" t="s">
        <v>14</v>
      </c>
      <c r="J76" s="7" t="s">
        <v>26</v>
      </c>
      <c r="K76" s="7" t="s">
        <v>16</v>
      </c>
      <c r="L76" t="s">
        <v>17</v>
      </c>
      <c r="M76" s="9">
        <v>666.78</v>
      </c>
      <c r="N76" s="4">
        <v>10</v>
      </c>
      <c r="O76" s="12">
        <v>0.1</v>
      </c>
      <c r="P76" s="9">
        <v>48.75</v>
      </c>
      <c r="Q76" s="10">
        <f>Table1[[#This Row],[Profit]]/Table1[[#This Row],[Sales]]</f>
        <v>7.3112570862953308E-2</v>
      </c>
      <c r="R76" t="str">
        <f>IF(Table1[[#This Row],[Profit Margin]]&gt;0,"profit","loss")</f>
        <v>profit</v>
      </c>
      <c r="S76" t="str">
        <f>IF(Table1[[#This Row],[Discount]]=0,"No Discount",IF(Table1[[#This Row],[Discount]]&lt;=0.2,"low",IF(Table1[[#This Row],[Discount]]&lt;=0.3,"medium","high")))</f>
        <v>low</v>
      </c>
      <c r="T76" s="15" t="str">
        <f>IF(Table1[[#This Row],[Days]]&lt;=2,"faster",IF(Table1[[#This Row],[Days]]&lt;=4,"Normal","slow"))</f>
        <v>faster</v>
      </c>
    </row>
    <row r="77" spans="1:20" x14ac:dyDescent="0.25">
      <c r="A77" s="4" t="s">
        <v>110</v>
      </c>
      <c r="B77" s="1">
        <v>45067</v>
      </c>
      <c r="C77" s="1">
        <v>45071</v>
      </c>
      <c r="D77" s="13">
        <f>Table1[[#This Row],[Shipped date]]-Table1[[#This Row],[Order Date]]</f>
        <v>4</v>
      </c>
      <c r="E77" t="s">
        <v>19</v>
      </c>
      <c r="F77" s="13" t="str">
        <f>TEXT(Table1[[#This Row],[Order Date]],"MMMM")</f>
        <v>May</v>
      </c>
      <c r="G77" s="13">
        <f t="shared" si="2"/>
        <v>2023</v>
      </c>
      <c r="H77" s="13" t="str">
        <f t="shared" si="3"/>
        <v>Q2</v>
      </c>
      <c r="I77" s="1" t="s">
        <v>14</v>
      </c>
      <c r="J77" s="7" t="s">
        <v>15</v>
      </c>
      <c r="K77" s="7" t="s">
        <v>29</v>
      </c>
      <c r="L77" t="s">
        <v>30</v>
      </c>
      <c r="M77" s="9">
        <v>526.29999999999995</v>
      </c>
      <c r="N77" s="4">
        <v>2</v>
      </c>
      <c r="O77" s="12">
        <v>0</v>
      </c>
      <c r="P77" s="9">
        <v>49.56</v>
      </c>
      <c r="Q77" s="10">
        <f>Table1[[#This Row],[Profit]]/Table1[[#This Row],[Sales]]</f>
        <v>9.4166825004750154E-2</v>
      </c>
      <c r="R77" t="str">
        <f>IF(Table1[[#This Row],[Profit Margin]]&gt;0,"profit","loss")</f>
        <v>profit</v>
      </c>
      <c r="S77" t="str">
        <f>IF(Table1[[#This Row],[Discount]]=0,"No Discount",IF(Table1[[#This Row],[Discount]]&lt;=0.2,"low",IF(Table1[[#This Row],[Discount]]&lt;=0.3,"medium","high")))</f>
        <v>No Discount</v>
      </c>
      <c r="T77" s="15" t="str">
        <f>IF(Table1[[#This Row],[Days]]&lt;=2,"faster",IF(Table1[[#This Row],[Days]]&lt;=4,"Normal","slow"))</f>
        <v>Normal</v>
      </c>
    </row>
    <row r="78" spans="1:20" x14ac:dyDescent="0.25">
      <c r="A78" s="4" t="s">
        <v>111</v>
      </c>
      <c r="B78" s="1">
        <v>45135</v>
      </c>
      <c r="C78" s="1">
        <v>45138</v>
      </c>
      <c r="D78" s="13">
        <f>Table1[[#This Row],[Shipped date]]-Table1[[#This Row],[Order Date]]</f>
        <v>3</v>
      </c>
      <c r="E78" t="s">
        <v>19</v>
      </c>
      <c r="F78" s="13" t="str">
        <f>TEXT(Table1[[#This Row],[Order Date]],"MMMM")</f>
        <v>July</v>
      </c>
      <c r="G78" s="13">
        <f t="shared" si="2"/>
        <v>2023</v>
      </c>
      <c r="H78" s="13" t="str">
        <f t="shared" si="3"/>
        <v>Q3</v>
      </c>
      <c r="I78" s="1" t="s">
        <v>14</v>
      </c>
      <c r="J78" s="7" t="s">
        <v>26</v>
      </c>
      <c r="K78" s="7" t="s">
        <v>22</v>
      </c>
      <c r="L78" t="s">
        <v>23</v>
      </c>
      <c r="M78" s="9">
        <v>111.24</v>
      </c>
      <c r="N78" s="4">
        <v>2</v>
      </c>
      <c r="O78" s="12">
        <v>0.3</v>
      </c>
      <c r="P78" s="9">
        <v>-3.17</v>
      </c>
      <c r="Q78" s="10">
        <f>Table1[[#This Row],[Profit]]/Table1[[#This Row],[Sales]]</f>
        <v>-2.8496943545487236E-2</v>
      </c>
      <c r="R78" t="str">
        <f>IF(Table1[[#This Row],[Profit Margin]]&gt;0,"profit","loss")</f>
        <v>loss</v>
      </c>
      <c r="S78" t="str">
        <f>IF(Table1[[#This Row],[Discount]]=0,"No Discount",IF(Table1[[#This Row],[Discount]]&lt;=0.2,"low",IF(Table1[[#This Row],[Discount]]&lt;=0.3,"medium","high")))</f>
        <v>medium</v>
      </c>
      <c r="T78" s="15" t="str">
        <f>IF(Table1[[#This Row],[Days]]&lt;=2,"faster",IF(Table1[[#This Row],[Days]]&lt;=4,"Normal","slow"))</f>
        <v>Normal</v>
      </c>
    </row>
    <row r="79" spans="1:20" x14ac:dyDescent="0.25">
      <c r="A79" s="4" t="s">
        <v>112</v>
      </c>
      <c r="B79" s="1">
        <v>45074</v>
      </c>
      <c r="C79" s="1">
        <v>45081</v>
      </c>
      <c r="D79" s="13">
        <f>Table1[[#This Row],[Shipped date]]-Table1[[#This Row],[Order Date]]</f>
        <v>7</v>
      </c>
      <c r="E79" t="s">
        <v>25</v>
      </c>
      <c r="F79" s="13" t="str">
        <f>TEXT(Table1[[#This Row],[Order Date]],"MMMM")</f>
        <v>May</v>
      </c>
      <c r="G79" s="13">
        <f t="shared" si="2"/>
        <v>2023</v>
      </c>
      <c r="H79" s="13" t="str">
        <f t="shared" si="3"/>
        <v>Q2</v>
      </c>
      <c r="I79" s="1" t="s">
        <v>14</v>
      </c>
      <c r="J79" s="7" t="s">
        <v>15</v>
      </c>
      <c r="K79" s="7" t="s">
        <v>29</v>
      </c>
      <c r="L79" t="s">
        <v>45</v>
      </c>
      <c r="M79" s="9">
        <v>884.98</v>
      </c>
      <c r="N79" s="4">
        <v>8</v>
      </c>
      <c r="O79" s="12">
        <v>0.2</v>
      </c>
      <c r="P79" s="9">
        <v>-84.77</v>
      </c>
      <c r="Q79" s="10">
        <f>Table1[[#This Row],[Profit]]/Table1[[#This Row],[Sales]]</f>
        <v>-9.5787475423173396E-2</v>
      </c>
      <c r="R79" t="str">
        <f>IF(Table1[[#This Row],[Profit Margin]]&gt;0,"profit","loss")</f>
        <v>loss</v>
      </c>
      <c r="S79" t="str">
        <f>IF(Table1[[#This Row],[Discount]]=0,"No Discount",IF(Table1[[#This Row],[Discount]]&lt;=0.2,"low",IF(Table1[[#This Row],[Discount]]&lt;=0.3,"medium","high")))</f>
        <v>low</v>
      </c>
      <c r="T79" s="15" t="str">
        <f>IF(Table1[[#This Row],[Days]]&lt;=2,"faster",IF(Table1[[#This Row],[Days]]&lt;=4,"Normal","slow"))</f>
        <v>slow</v>
      </c>
    </row>
    <row r="80" spans="1:20" x14ac:dyDescent="0.25">
      <c r="A80" s="4" t="s">
        <v>113</v>
      </c>
      <c r="B80" s="1">
        <v>45041</v>
      </c>
      <c r="C80" s="1">
        <v>45046</v>
      </c>
      <c r="D80" s="13">
        <f>Table1[[#This Row],[Shipped date]]-Table1[[#This Row],[Order Date]]</f>
        <v>5</v>
      </c>
      <c r="E80" t="s">
        <v>25</v>
      </c>
      <c r="F80" s="13" t="str">
        <f>TEXT(Table1[[#This Row],[Order Date]],"MMMM")</f>
        <v>April</v>
      </c>
      <c r="G80" s="13">
        <f t="shared" si="2"/>
        <v>2023</v>
      </c>
      <c r="H80" s="13" t="str">
        <f t="shared" si="3"/>
        <v>Q2</v>
      </c>
      <c r="I80" s="1" t="s">
        <v>14</v>
      </c>
      <c r="J80" s="7" t="s">
        <v>15</v>
      </c>
      <c r="K80" s="7" t="s">
        <v>22</v>
      </c>
      <c r="L80" t="s">
        <v>23</v>
      </c>
      <c r="M80" s="9">
        <v>362.23</v>
      </c>
      <c r="N80" s="4">
        <v>6</v>
      </c>
      <c r="O80" s="12">
        <v>0.3</v>
      </c>
      <c r="P80" s="9">
        <v>-33.18</v>
      </c>
      <c r="Q80" s="10">
        <f>Table1[[#This Row],[Profit]]/Table1[[#This Row],[Sales]]</f>
        <v>-9.1599260138585978E-2</v>
      </c>
      <c r="R80" t="str">
        <f>IF(Table1[[#This Row],[Profit Margin]]&gt;0,"profit","loss")</f>
        <v>loss</v>
      </c>
      <c r="S80" t="str">
        <f>IF(Table1[[#This Row],[Discount]]=0,"No Discount",IF(Table1[[#This Row],[Discount]]&lt;=0.2,"low",IF(Table1[[#This Row],[Discount]]&lt;=0.3,"medium","high")))</f>
        <v>medium</v>
      </c>
      <c r="T80" s="15" t="str">
        <f>IF(Table1[[#This Row],[Days]]&lt;=2,"faster",IF(Table1[[#This Row],[Days]]&lt;=4,"Normal","slow"))</f>
        <v>slow</v>
      </c>
    </row>
    <row r="81" spans="1:20" x14ac:dyDescent="0.25">
      <c r="A81" s="4" t="s">
        <v>114</v>
      </c>
      <c r="B81" s="1">
        <v>45169</v>
      </c>
      <c r="C81" s="1">
        <v>45176</v>
      </c>
      <c r="D81" s="13">
        <f>Table1[[#This Row],[Shipped date]]-Table1[[#This Row],[Order Date]]</f>
        <v>7</v>
      </c>
      <c r="E81" t="s">
        <v>28</v>
      </c>
      <c r="F81" s="13" t="str">
        <f>TEXT(Table1[[#This Row],[Order Date]],"MMMM")</f>
        <v>August</v>
      </c>
      <c r="G81" s="13">
        <f t="shared" si="2"/>
        <v>2023</v>
      </c>
      <c r="H81" s="13" t="str">
        <f t="shared" si="3"/>
        <v>Q3</v>
      </c>
      <c r="I81" s="1" t="s">
        <v>20</v>
      </c>
      <c r="J81" s="7" t="s">
        <v>32</v>
      </c>
      <c r="K81" s="7" t="s">
        <v>22</v>
      </c>
      <c r="L81" t="s">
        <v>40</v>
      </c>
      <c r="M81" s="9">
        <v>859.2</v>
      </c>
      <c r="N81" s="4">
        <v>5</v>
      </c>
      <c r="O81" s="12">
        <v>0.1</v>
      </c>
      <c r="P81" s="9">
        <v>34.590000000000003</v>
      </c>
      <c r="Q81" s="10">
        <f>Table1[[#This Row],[Profit]]/Table1[[#This Row],[Sales]]</f>
        <v>4.0258379888268157E-2</v>
      </c>
      <c r="R81" t="str">
        <f>IF(Table1[[#This Row],[Profit Margin]]&gt;0,"profit","loss")</f>
        <v>profit</v>
      </c>
      <c r="S81" t="str">
        <f>IF(Table1[[#This Row],[Discount]]=0,"No Discount",IF(Table1[[#This Row],[Discount]]&lt;=0.2,"low",IF(Table1[[#This Row],[Discount]]&lt;=0.3,"medium","high")))</f>
        <v>low</v>
      </c>
      <c r="T81" s="15" t="str">
        <f>IF(Table1[[#This Row],[Days]]&lt;=2,"faster",IF(Table1[[#This Row],[Days]]&lt;=4,"Normal","slow"))</f>
        <v>slow</v>
      </c>
    </row>
    <row r="82" spans="1:20" x14ac:dyDescent="0.25">
      <c r="A82" s="4" t="s">
        <v>115</v>
      </c>
      <c r="B82" s="1">
        <v>45248</v>
      </c>
      <c r="C82" s="1">
        <v>45252</v>
      </c>
      <c r="D82" s="13">
        <f>Table1[[#This Row],[Shipped date]]-Table1[[#This Row],[Order Date]]</f>
        <v>4</v>
      </c>
      <c r="E82" t="s">
        <v>25</v>
      </c>
      <c r="F82" s="13" t="str">
        <f>TEXT(Table1[[#This Row],[Order Date]],"MMMM")</f>
        <v>November</v>
      </c>
      <c r="G82" s="13">
        <f t="shared" si="2"/>
        <v>2023</v>
      </c>
      <c r="H82" s="13" t="str">
        <f t="shared" si="3"/>
        <v>Q4</v>
      </c>
      <c r="I82" s="1" t="s">
        <v>20</v>
      </c>
      <c r="J82" s="7" t="s">
        <v>26</v>
      </c>
      <c r="K82" s="7" t="s">
        <v>29</v>
      </c>
      <c r="L82" t="s">
        <v>30</v>
      </c>
      <c r="M82" s="9">
        <v>649.19000000000005</v>
      </c>
      <c r="N82" s="4">
        <v>10</v>
      </c>
      <c r="O82" s="12">
        <v>0.2</v>
      </c>
      <c r="P82" s="9">
        <v>-19.420000000000002</v>
      </c>
      <c r="Q82" s="10">
        <f>Table1[[#This Row],[Profit]]/Table1[[#This Row],[Sales]]</f>
        <v>-2.9914200773271307E-2</v>
      </c>
      <c r="R82" t="str">
        <f>IF(Table1[[#This Row],[Profit Margin]]&gt;0,"profit","loss")</f>
        <v>loss</v>
      </c>
      <c r="S82" t="str">
        <f>IF(Table1[[#This Row],[Discount]]=0,"No Discount",IF(Table1[[#This Row],[Discount]]&lt;=0.2,"low",IF(Table1[[#This Row],[Discount]]&lt;=0.3,"medium","high")))</f>
        <v>low</v>
      </c>
      <c r="T82" s="15" t="str">
        <f>IF(Table1[[#This Row],[Days]]&lt;=2,"faster",IF(Table1[[#This Row],[Days]]&lt;=4,"Normal","slow"))</f>
        <v>Normal</v>
      </c>
    </row>
    <row r="83" spans="1:20" x14ac:dyDescent="0.25">
      <c r="A83" s="4" t="s">
        <v>116</v>
      </c>
      <c r="B83" s="1">
        <v>45103</v>
      </c>
      <c r="C83" s="1">
        <v>45105</v>
      </c>
      <c r="D83" s="13">
        <f>Table1[[#This Row],[Shipped date]]-Table1[[#This Row],[Order Date]]</f>
        <v>2</v>
      </c>
      <c r="E83" t="s">
        <v>19</v>
      </c>
      <c r="F83" s="13" t="str">
        <f>TEXT(Table1[[#This Row],[Order Date]],"MMMM")</f>
        <v>June</v>
      </c>
      <c r="G83" s="13">
        <f t="shared" si="2"/>
        <v>2023</v>
      </c>
      <c r="H83" s="13" t="str">
        <f t="shared" si="3"/>
        <v>Q2</v>
      </c>
      <c r="I83" s="1" t="s">
        <v>37</v>
      </c>
      <c r="J83" s="7" t="s">
        <v>26</v>
      </c>
      <c r="K83" s="7" t="s">
        <v>29</v>
      </c>
      <c r="L83" t="s">
        <v>45</v>
      </c>
      <c r="M83" s="9">
        <v>789.63</v>
      </c>
      <c r="N83" s="4">
        <v>9</v>
      </c>
      <c r="O83" s="12">
        <v>0.3</v>
      </c>
      <c r="P83" s="9">
        <v>-135.47999999999999</v>
      </c>
      <c r="Q83" s="10">
        <f>Table1[[#This Row],[Profit]]/Table1[[#This Row],[Sales]]</f>
        <v>-0.17157402834238819</v>
      </c>
      <c r="R83" t="str">
        <f>IF(Table1[[#This Row],[Profit Margin]]&gt;0,"profit","loss")</f>
        <v>loss</v>
      </c>
      <c r="S83" t="str">
        <f>IF(Table1[[#This Row],[Discount]]=0,"No Discount",IF(Table1[[#This Row],[Discount]]&lt;=0.2,"low",IF(Table1[[#This Row],[Discount]]&lt;=0.3,"medium","high")))</f>
        <v>medium</v>
      </c>
      <c r="T83" s="15" t="str">
        <f>IF(Table1[[#This Row],[Days]]&lt;=2,"faster",IF(Table1[[#This Row],[Days]]&lt;=4,"Normal","slow"))</f>
        <v>faster</v>
      </c>
    </row>
    <row r="84" spans="1:20" x14ac:dyDescent="0.25">
      <c r="A84" s="4" t="s">
        <v>117</v>
      </c>
      <c r="B84" s="1">
        <v>44978</v>
      </c>
      <c r="C84" s="1">
        <v>44982</v>
      </c>
      <c r="D84" s="13">
        <f>Table1[[#This Row],[Shipped date]]-Table1[[#This Row],[Order Date]]</f>
        <v>4</v>
      </c>
      <c r="E84" t="s">
        <v>19</v>
      </c>
      <c r="F84" s="13" t="str">
        <f>TEXT(Table1[[#This Row],[Order Date]],"MMMM")</f>
        <v>February</v>
      </c>
      <c r="G84" s="13">
        <f t="shared" si="2"/>
        <v>2023</v>
      </c>
      <c r="H84" s="13" t="str">
        <f t="shared" si="3"/>
        <v>Q1</v>
      </c>
      <c r="I84" s="1" t="s">
        <v>37</v>
      </c>
      <c r="J84" s="7" t="s">
        <v>26</v>
      </c>
      <c r="K84" s="7" t="s">
        <v>29</v>
      </c>
      <c r="L84" t="s">
        <v>43</v>
      </c>
      <c r="M84" s="9">
        <v>29.01</v>
      </c>
      <c r="N84" s="4">
        <v>1</v>
      </c>
      <c r="O84" s="12">
        <v>0.1</v>
      </c>
      <c r="P84" s="9">
        <v>45.81</v>
      </c>
      <c r="Q84" s="10">
        <f>Table1[[#This Row],[Profit]]/Table1[[#This Row],[Sales]]</f>
        <v>1.5791106514994828</v>
      </c>
      <c r="R84" t="str">
        <f>IF(Table1[[#This Row],[Profit Margin]]&gt;0,"profit","loss")</f>
        <v>profit</v>
      </c>
      <c r="S84" t="str">
        <f>IF(Table1[[#This Row],[Discount]]=0,"No Discount",IF(Table1[[#This Row],[Discount]]&lt;=0.2,"low",IF(Table1[[#This Row],[Discount]]&lt;=0.3,"medium","high")))</f>
        <v>low</v>
      </c>
      <c r="T84" s="15" t="str">
        <f>IF(Table1[[#This Row],[Days]]&lt;=2,"faster",IF(Table1[[#This Row],[Days]]&lt;=4,"Normal","slow"))</f>
        <v>Normal</v>
      </c>
    </row>
    <row r="85" spans="1:20" x14ac:dyDescent="0.25">
      <c r="A85" s="4" t="s">
        <v>118</v>
      </c>
      <c r="B85" s="1">
        <v>44982</v>
      </c>
      <c r="C85" s="1">
        <v>44983</v>
      </c>
      <c r="D85" s="13">
        <f>Table1[[#This Row],[Shipped date]]-Table1[[#This Row],[Order Date]]</f>
        <v>1</v>
      </c>
      <c r="E85" t="s">
        <v>19</v>
      </c>
      <c r="F85" s="13" t="str">
        <f>TEXT(Table1[[#This Row],[Order Date]],"MMMM")</f>
        <v>February</v>
      </c>
      <c r="G85" s="13">
        <f t="shared" si="2"/>
        <v>2023</v>
      </c>
      <c r="H85" s="13" t="str">
        <f t="shared" si="3"/>
        <v>Q1</v>
      </c>
      <c r="I85" s="1" t="s">
        <v>37</v>
      </c>
      <c r="J85" s="7" t="s">
        <v>32</v>
      </c>
      <c r="K85" s="7" t="s">
        <v>16</v>
      </c>
      <c r="L85" t="s">
        <v>33</v>
      </c>
      <c r="M85" s="9">
        <v>974.19</v>
      </c>
      <c r="N85" s="4">
        <v>3</v>
      </c>
      <c r="O85" s="12">
        <v>0.1</v>
      </c>
      <c r="P85" s="9">
        <v>-8.74</v>
      </c>
      <c r="Q85" s="10">
        <f>Table1[[#This Row],[Profit]]/Table1[[#This Row],[Sales]]</f>
        <v>-8.9715558566604049E-3</v>
      </c>
      <c r="R85" t="str">
        <f>IF(Table1[[#This Row],[Profit Margin]]&gt;0,"profit","loss")</f>
        <v>loss</v>
      </c>
      <c r="S85" t="str">
        <f>IF(Table1[[#This Row],[Discount]]=0,"No Discount",IF(Table1[[#This Row],[Discount]]&lt;=0.2,"low",IF(Table1[[#This Row],[Discount]]&lt;=0.3,"medium","high")))</f>
        <v>low</v>
      </c>
      <c r="T85" s="15" t="str">
        <f>IF(Table1[[#This Row],[Days]]&lt;=2,"faster",IF(Table1[[#This Row],[Days]]&lt;=4,"Normal","slow"))</f>
        <v>faster</v>
      </c>
    </row>
    <row r="86" spans="1:20" x14ac:dyDescent="0.25">
      <c r="A86" s="4" t="s">
        <v>119</v>
      </c>
      <c r="B86" s="1">
        <v>45241</v>
      </c>
      <c r="C86" s="1">
        <v>45248</v>
      </c>
      <c r="D86" s="13">
        <f>Table1[[#This Row],[Shipped date]]-Table1[[#This Row],[Order Date]]</f>
        <v>7</v>
      </c>
      <c r="E86" t="s">
        <v>25</v>
      </c>
      <c r="F86" s="13" t="str">
        <f>TEXT(Table1[[#This Row],[Order Date]],"MMMM")</f>
        <v>November</v>
      </c>
      <c r="G86" s="13">
        <f t="shared" si="2"/>
        <v>2023</v>
      </c>
      <c r="H86" s="13" t="str">
        <f t="shared" si="3"/>
        <v>Q4</v>
      </c>
      <c r="I86" s="1" t="s">
        <v>14</v>
      </c>
      <c r="J86" s="7" t="s">
        <v>26</v>
      </c>
      <c r="K86" s="7" t="s">
        <v>22</v>
      </c>
      <c r="L86" t="s">
        <v>35</v>
      </c>
      <c r="M86" s="9">
        <v>557.76</v>
      </c>
      <c r="N86" s="4">
        <v>2</v>
      </c>
      <c r="O86" s="12">
        <v>0.1</v>
      </c>
      <c r="P86" s="9">
        <v>11.39</v>
      </c>
      <c r="Q86" s="10">
        <f>Table1[[#This Row],[Profit]]/Table1[[#This Row],[Sales]]</f>
        <v>2.0420969592656341E-2</v>
      </c>
      <c r="R86" t="str">
        <f>IF(Table1[[#This Row],[Profit Margin]]&gt;0,"profit","loss")</f>
        <v>profit</v>
      </c>
      <c r="S86" t="str">
        <f>IF(Table1[[#This Row],[Discount]]=0,"No Discount",IF(Table1[[#This Row],[Discount]]&lt;=0.2,"low",IF(Table1[[#This Row],[Discount]]&lt;=0.3,"medium","high")))</f>
        <v>low</v>
      </c>
      <c r="T86" s="15" t="str">
        <f>IF(Table1[[#This Row],[Days]]&lt;=2,"faster",IF(Table1[[#This Row],[Days]]&lt;=4,"Normal","slow"))</f>
        <v>slow</v>
      </c>
    </row>
    <row r="87" spans="1:20" x14ac:dyDescent="0.25">
      <c r="A87" s="4" t="s">
        <v>120</v>
      </c>
      <c r="B87" s="1">
        <v>44998</v>
      </c>
      <c r="C87" s="1">
        <v>45000</v>
      </c>
      <c r="D87" s="13">
        <f>Table1[[#This Row],[Shipped date]]-Table1[[#This Row],[Order Date]]</f>
        <v>2</v>
      </c>
      <c r="E87" t="s">
        <v>19</v>
      </c>
      <c r="F87" s="13" t="str">
        <f>TEXT(Table1[[#This Row],[Order Date]],"MMMM")</f>
        <v>March</v>
      </c>
      <c r="G87" s="13">
        <f t="shared" si="2"/>
        <v>2023</v>
      </c>
      <c r="H87" s="13" t="str">
        <f t="shared" si="3"/>
        <v>Q1</v>
      </c>
      <c r="I87" s="1" t="s">
        <v>14</v>
      </c>
      <c r="J87" s="7" t="s">
        <v>32</v>
      </c>
      <c r="K87" s="7" t="s">
        <v>16</v>
      </c>
      <c r="L87" t="s">
        <v>17</v>
      </c>
      <c r="M87" s="9">
        <v>994.57</v>
      </c>
      <c r="N87" s="4">
        <v>2</v>
      </c>
      <c r="O87" s="12">
        <v>0.3</v>
      </c>
      <c r="P87" s="9">
        <v>-169.06</v>
      </c>
      <c r="Q87" s="10">
        <f>Table1[[#This Row],[Profit]]/Table1[[#This Row],[Sales]]</f>
        <v>-0.16998300773198466</v>
      </c>
      <c r="R87" t="str">
        <f>IF(Table1[[#This Row],[Profit Margin]]&gt;0,"profit","loss")</f>
        <v>loss</v>
      </c>
      <c r="S87" t="str">
        <f>IF(Table1[[#This Row],[Discount]]=0,"No Discount",IF(Table1[[#This Row],[Discount]]&lt;=0.2,"low",IF(Table1[[#This Row],[Discount]]&lt;=0.3,"medium","high")))</f>
        <v>medium</v>
      </c>
      <c r="T87" s="15" t="str">
        <f>IF(Table1[[#This Row],[Days]]&lt;=2,"faster",IF(Table1[[#This Row],[Days]]&lt;=4,"Normal","slow"))</f>
        <v>faster</v>
      </c>
    </row>
    <row r="88" spans="1:20" x14ac:dyDescent="0.25">
      <c r="A88" s="4" t="s">
        <v>121</v>
      </c>
      <c r="B88" s="1">
        <v>45155</v>
      </c>
      <c r="C88" s="1">
        <v>45160</v>
      </c>
      <c r="D88" s="13">
        <f>Table1[[#This Row],[Shipped date]]-Table1[[#This Row],[Order Date]]</f>
        <v>5</v>
      </c>
      <c r="E88" t="s">
        <v>25</v>
      </c>
      <c r="F88" s="13" t="str">
        <f>TEXT(Table1[[#This Row],[Order Date]],"MMMM")</f>
        <v>August</v>
      </c>
      <c r="G88" s="13">
        <f t="shared" si="2"/>
        <v>2023</v>
      </c>
      <c r="H88" s="13" t="str">
        <f t="shared" si="3"/>
        <v>Q3</v>
      </c>
      <c r="I88" s="1" t="s">
        <v>37</v>
      </c>
      <c r="J88" s="7" t="s">
        <v>26</v>
      </c>
      <c r="K88" s="7" t="s">
        <v>29</v>
      </c>
      <c r="L88" t="s">
        <v>45</v>
      </c>
      <c r="M88" s="9">
        <v>252.5</v>
      </c>
      <c r="N88" s="4">
        <v>3</v>
      </c>
      <c r="O88" s="12">
        <v>0</v>
      </c>
      <c r="P88" s="9">
        <v>17.77</v>
      </c>
      <c r="Q88" s="10">
        <f>Table1[[#This Row],[Profit]]/Table1[[#This Row],[Sales]]</f>
        <v>7.0376237623762369E-2</v>
      </c>
      <c r="R88" t="str">
        <f>IF(Table1[[#This Row],[Profit Margin]]&gt;0,"profit","loss")</f>
        <v>profit</v>
      </c>
      <c r="S88" t="str">
        <f>IF(Table1[[#This Row],[Discount]]=0,"No Discount",IF(Table1[[#This Row],[Discount]]&lt;=0.2,"low",IF(Table1[[#This Row],[Discount]]&lt;=0.3,"medium","high")))</f>
        <v>No Discount</v>
      </c>
      <c r="T88" s="15" t="str">
        <f>IF(Table1[[#This Row],[Days]]&lt;=2,"faster",IF(Table1[[#This Row],[Days]]&lt;=4,"Normal","slow"))</f>
        <v>slow</v>
      </c>
    </row>
    <row r="89" spans="1:20" x14ac:dyDescent="0.25">
      <c r="A89" s="4" t="s">
        <v>122</v>
      </c>
      <c r="B89" s="1">
        <v>45132</v>
      </c>
      <c r="C89" s="1">
        <v>45137</v>
      </c>
      <c r="D89" s="13">
        <f>Table1[[#This Row],[Shipped date]]-Table1[[#This Row],[Order Date]]</f>
        <v>5</v>
      </c>
      <c r="E89" t="s">
        <v>13</v>
      </c>
      <c r="F89" s="13" t="str">
        <f>TEXT(Table1[[#This Row],[Order Date]],"MMMM")</f>
        <v>July</v>
      </c>
      <c r="G89" s="13">
        <f t="shared" si="2"/>
        <v>2023</v>
      </c>
      <c r="H89" s="13" t="str">
        <f t="shared" si="3"/>
        <v>Q3</v>
      </c>
      <c r="I89" s="1" t="s">
        <v>14</v>
      </c>
      <c r="J89" s="7" t="s">
        <v>26</v>
      </c>
      <c r="K89" s="7" t="s">
        <v>22</v>
      </c>
      <c r="L89" t="s">
        <v>35</v>
      </c>
      <c r="M89" s="9">
        <v>379.14</v>
      </c>
      <c r="N89" s="4">
        <v>4</v>
      </c>
      <c r="O89" s="12">
        <v>0.3</v>
      </c>
      <c r="P89" s="9">
        <v>-36.380000000000003</v>
      </c>
      <c r="Q89" s="10">
        <f>Table1[[#This Row],[Profit]]/Table1[[#This Row],[Sales]]</f>
        <v>-9.5954001160521191E-2</v>
      </c>
      <c r="R89" t="str">
        <f>IF(Table1[[#This Row],[Profit Margin]]&gt;0,"profit","loss")</f>
        <v>loss</v>
      </c>
      <c r="S89" t="str">
        <f>IF(Table1[[#This Row],[Discount]]=0,"No Discount",IF(Table1[[#This Row],[Discount]]&lt;=0.2,"low",IF(Table1[[#This Row],[Discount]]&lt;=0.3,"medium","high")))</f>
        <v>medium</v>
      </c>
      <c r="T89" s="15" t="str">
        <f>IF(Table1[[#This Row],[Days]]&lt;=2,"faster",IF(Table1[[#This Row],[Days]]&lt;=4,"Normal","slow"))</f>
        <v>slow</v>
      </c>
    </row>
    <row r="90" spans="1:20" x14ac:dyDescent="0.25">
      <c r="A90" s="4" t="s">
        <v>123</v>
      </c>
      <c r="B90" s="1">
        <v>45176</v>
      </c>
      <c r="C90" s="1">
        <v>45179</v>
      </c>
      <c r="D90" s="13">
        <f>Table1[[#This Row],[Shipped date]]-Table1[[#This Row],[Order Date]]</f>
        <v>3</v>
      </c>
      <c r="E90" t="s">
        <v>19</v>
      </c>
      <c r="F90" s="13" t="str">
        <f>TEXT(Table1[[#This Row],[Order Date]],"MMMM")</f>
        <v>September</v>
      </c>
      <c r="G90" s="13">
        <f t="shared" si="2"/>
        <v>2023</v>
      </c>
      <c r="H90" s="13" t="str">
        <f t="shared" si="3"/>
        <v>Q3</v>
      </c>
      <c r="I90" s="1" t="s">
        <v>20</v>
      </c>
      <c r="J90" s="7" t="s">
        <v>21</v>
      </c>
      <c r="K90" s="7" t="s">
        <v>16</v>
      </c>
      <c r="L90" t="s">
        <v>38</v>
      </c>
      <c r="M90" s="9">
        <v>664.46</v>
      </c>
      <c r="N90" s="4">
        <v>3</v>
      </c>
      <c r="O90" s="12">
        <v>0</v>
      </c>
      <c r="P90" s="9">
        <v>84.42</v>
      </c>
      <c r="Q90" s="10">
        <f>Table1[[#This Row],[Profit]]/Table1[[#This Row],[Sales]]</f>
        <v>0.12705053727839147</v>
      </c>
      <c r="R90" t="str">
        <f>IF(Table1[[#This Row],[Profit Margin]]&gt;0,"profit","loss")</f>
        <v>profit</v>
      </c>
      <c r="S90" t="str">
        <f>IF(Table1[[#This Row],[Discount]]=0,"No Discount",IF(Table1[[#This Row],[Discount]]&lt;=0.2,"low",IF(Table1[[#This Row],[Discount]]&lt;=0.3,"medium","high")))</f>
        <v>No Discount</v>
      </c>
      <c r="T90" s="15" t="str">
        <f>IF(Table1[[#This Row],[Days]]&lt;=2,"faster",IF(Table1[[#This Row],[Days]]&lt;=4,"Normal","slow"))</f>
        <v>Normal</v>
      </c>
    </row>
    <row r="91" spans="1:20" x14ac:dyDescent="0.25">
      <c r="A91" s="4" t="s">
        <v>124</v>
      </c>
      <c r="B91" s="1">
        <v>45093</v>
      </c>
      <c r="C91" s="1">
        <v>45098</v>
      </c>
      <c r="D91" s="13">
        <f>Table1[[#This Row],[Shipped date]]-Table1[[#This Row],[Order Date]]</f>
        <v>5</v>
      </c>
      <c r="E91" t="s">
        <v>19</v>
      </c>
      <c r="F91" s="13" t="str">
        <f>TEXT(Table1[[#This Row],[Order Date]],"MMMM")</f>
        <v>June</v>
      </c>
      <c r="G91" s="13">
        <f t="shared" si="2"/>
        <v>2023</v>
      </c>
      <c r="H91" s="13" t="str">
        <f t="shared" si="3"/>
        <v>Q2</v>
      </c>
      <c r="I91" s="1" t="s">
        <v>37</v>
      </c>
      <c r="J91" s="7" t="s">
        <v>32</v>
      </c>
      <c r="K91" s="7" t="s">
        <v>16</v>
      </c>
      <c r="L91" t="s">
        <v>33</v>
      </c>
      <c r="M91" s="9">
        <v>518.64</v>
      </c>
      <c r="N91" s="4">
        <v>3</v>
      </c>
      <c r="O91" s="12">
        <v>0.1</v>
      </c>
      <c r="P91" s="9">
        <v>-1.44</v>
      </c>
      <c r="Q91" s="10">
        <f>Table1[[#This Row],[Profit]]/Table1[[#This Row],[Sales]]</f>
        <v>-2.7764923646459972E-3</v>
      </c>
      <c r="R91" t="str">
        <f>IF(Table1[[#This Row],[Profit Margin]]&gt;0,"profit","loss")</f>
        <v>loss</v>
      </c>
      <c r="S91" t="str">
        <f>IF(Table1[[#This Row],[Discount]]=0,"No Discount",IF(Table1[[#This Row],[Discount]]&lt;=0.2,"low",IF(Table1[[#This Row],[Discount]]&lt;=0.3,"medium","high")))</f>
        <v>low</v>
      </c>
      <c r="T91" s="15" t="str">
        <f>IF(Table1[[#This Row],[Days]]&lt;=2,"faster",IF(Table1[[#This Row],[Days]]&lt;=4,"Normal","slow"))</f>
        <v>slow</v>
      </c>
    </row>
    <row r="92" spans="1:20" x14ac:dyDescent="0.25">
      <c r="A92" s="4" t="s">
        <v>125</v>
      </c>
      <c r="B92" s="1">
        <v>45148</v>
      </c>
      <c r="C92" s="1">
        <v>45149</v>
      </c>
      <c r="D92" s="13">
        <f>Table1[[#This Row],[Shipped date]]-Table1[[#This Row],[Order Date]]</f>
        <v>1</v>
      </c>
      <c r="E92" t="s">
        <v>28</v>
      </c>
      <c r="F92" s="13" t="str">
        <f>TEXT(Table1[[#This Row],[Order Date]],"MMMM")</f>
        <v>August</v>
      </c>
      <c r="G92" s="13">
        <f t="shared" si="2"/>
        <v>2023</v>
      </c>
      <c r="H92" s="13" t="str">
        <f t="shared" si="3"/>
        <v>Q3</v>
      </c>
      <c r="I92" s="1" t="s">
        <v>37</v>
      </c>
      <c r="J92" s="7" t="s">
        <v>32</v>
      </c>
      <c r="K92" s="7" t="s">
        <v>16</v>
      </c>
      <c r="L92" t="s">
        <v>33</v>
      </c>
      <c r="M92" s="9">
        <v>259.11</v>
      </c>
      <c r="N92" s="4">
        <v>2</v>
      </c>
      <c r="O92" s="12">
        <v>0.1</v>
      </c>
      <c r="P92" s="9">
        <v>48.52</v>
      </c>
      <c r="Q92" s="10">
        <f>Table1[[#This Row],[Profit]]/Table1[[#This Row],[Sales]]</f>
        <v>0.18725637760024699</v>
      </c>
      <c r="R92" t="str">
        <f>IF(Table1[[#This Row],[Profit Margin]]&gt;0,"profit","loss")</f>
        <v>profit</v>
      </c>
      <c r="S92" t="str">
        <f>IF(Table1[[#This Row],[Discount]]=0,"No Discount",IF(Table1[[#This Row],[Discount]]&lt;=0.2,"low",IF(Table1[[#This Row],[Discount]]&lt;=0.3,"medium","high")))</f>
        <v>low</v>
      </c>
      <c r="T92" s="15" t="str">
        <f>IF(Table1[[#This Row],[Days]]&lt;=2,"faster",IF(Table1[[#This Row],[Days]]&lt;=4,"Normal","slow"))</f>
        <v>faster</v>
      </c>
    </row>
    <row r="93" spans="1:20" x14ac:dyDescent="0.25">
      <c r="A93" s="4" t="s">
        <v>126</v>
      </c>
      <c r="B93" s="1">
        <v>45048</v>
      </c>
      <c r="C93" s="1">
        <v>45051</v>
      </c>
      <c r="D93" s="13">
        <f>Table1[[#This Row],[Shipped date]]-Table1[[#This Row],[Order Date]]</f>
        <v>3</v>
      </c>
      <c r="E93" t="s">
        <v>13</v>
      </c>
      <c r="F93" s="13" t="str">
        <f>TEXT(Table1[[#This Row],[Order Date]],"MMMM")</f>
        <v>May</v>
      </c>
      <c r="G93" s="13">
        <f t="shared" si="2"/>
        <v>2023</v>
      </c>
      <c r="H93" s="13" t="str">
        <f t="shared" si="3"/>
        <v>Q2</v>
      </c>
      <c r="I93" s="1" t="s">
        <v>14</v>
      </c>
      <c r="J93" s="7" t="s">
        <v>32</v>
      </c>
      <c r="K93" s="7" t="s">
        <v>16</v>
      </c>
      <c r="L93" t="s">
        <v>38</v>
      </c>
      <c r="M93" s="9">
        <v>497.01</v>
      </c>
      <c r="N93" s="4">
        <v>8</v>
      </c>
      <c r="O93" s="12">
        <v>0.3</v>
      </c>
      <c r="P93" s="9">
        <v>-75.22</v>
      </c>
      <c r="Q93" s="10">
        <f>Table1[[#This Row],[Profit]]/Table1[[#This Row],[Sales]]</f>
        <v>-0.15134504335928856</v>
      </c>
      <c r="R93" t="str">
        <f>IF(Table1[[#This Row],[Profit Margin]]&gt;0,"profit","loss")</f>
        <v>loss</v>
      </c>
      <c r="S93" t="str">
        <f>IF(Table1[[#This Row],[Discount]]=0,"No Discount",IF(Table1[[#This Row],[Discount]]&lt;=0.2,"low",IF(Table1[[#This Row],[Discount]]&lt;=0.3,"medium","high")))</f>
        <v>medium</v>
      </c>
      <c r="T93" s="15" t="str">
        <f>IF(Table1[[#This Row],[Days]]&lt;=2,"faster",IF(Table1[[#This Row],[Days]]&lt;=4,"Normal","slow"))</f>
        <v>Normal</v>
      </c>
    </row>
    <row r="94" spans="1:20" x14ac:dyDescent="0.25">
      <c r="A94" s="4" t="s">
        <v>127</v>
      </c>
      <c r="B94" s="1">
        <v>45137</v>
      </c>
      <c r="C94" s="1">
        <v>45141</v>
      </c>
      <c r="D94" s="13">
        <f>Table1[[#This Row],[Shipped date]]-Table1[[#This Row],[Order Date]]</f>
        <v>4</v>
      </c>
      <c r="E94" t="s">
        <v>19</v>
      </c>
      <c r="F94" s="13" t="str">
        <f>TEXT(Table1[[#This Row],[Order Date]],"MMMM")</f>
        <v>July</v>
      </c>
      <c r="G94" s="13">
        <f t="shared" si="2"/>
        <v>2023</v>
      </c>
      <c r="H94" s="13" t="str">
        <f t="shared" si="3"/>
        <v>Q3</v>
      </c>
      <c r="I94" s="1" t="s">
        <v>37</v>
      </c>
      <c r="J94" s="7" t="s">
        <v>15</v>
      </c>
      <c r="K94" s="7" t="s">
        <v>22</v>
      </c>
      <c r="L94" t="s">
        <v>40</v>
      </c>
      <c r="M94" s="9">
        <v>798.92</v>
      </c>
      <c r="N94" s="4">
        <v>3</v>
      </c>
      <c r="O94" s="12">
        <v>0.1</v>
      </c>
      <c r="P94" s="9">
        <v>25.16</v>
      </c>
      <c r="Q94" s="10">
        <f>Table1[[#This Row],[Profit]]/Table1[[#This Row],[Sales]]</f>
        <v>3.1492514895108396E-2</v>
      </c>
      <c r="R94" t="str">
        <f>IF(Table1[[#This Row],[Profit Margin]]&gt;0,"profit","loss")</f>
        <v>profit</v>
      </c>
      <c r="S94" t="str">
        <f>IF(Table1[[#This Row],[Discount]]=0,"No Discount",IF(Table1[[#This Row],[Discount]]&lt;=0.2,"low",IF(Table1[[#This Row],[Discount]]&lt;=0.3,"medium","high")))</f>
        <v>low</v>
      </c>
      <c r="T94" s="15" t="str">
        <f>IF(Table1[[#This Row],[Days]]&lt;=2,"faster",IF(Table1[[#This Row],[Days]]&lt;=4,"Normal","slow"))</f>
        <v>Normal</v>
      </c>
    </row>
    <row r="95" spans="1:20" x14ac:dyDescent="0.25">
      <c r="A95" s="4" t="s">
        <v>128</v>
      </c>
      <c r="B95" s="1">
        <v>45018</v>
      </c>
      <c r="C95" s="1">
        <v>45021</v>
      </c>
      <c r="D95" s="13">
        <f>Table1[[#This Row],[Shipped date]]-Table1[[#This Row],[Order Date]]</f>
        <v>3</v>
      </c>
      <c r="E95" t="s">
        <v>13</v>
      </c>
      <c r="F95" s="13" t="str">
        <f>TEXT(Table1[[#This Row],[Order Date]],"MMMM")</f>
        <v>April</v>
      </c>
      <c r="G95" s="13">
        <f t="shared" si="2"/>
        <v>2023</v>
      </c>
      <c r="H95" s="13" t="str">
        <f t="shared" si="3"/>
        <v>Q2</v>
      </c>
      <c r="I95" s="1" t="s">
        <v>14</v>
      </c>
      <c r="J95" s="7" t="s">
        <v>21</v>
      </c>
      <c r="K95" s="7" t="s">
        <v>22</v>
      </c>
      <c r="L95" t="s">
        <v>23</v>
      </c>
      <c r="M95" s="9">
        <v>675.55</v>
      </c>
      <c r="N95" s="4">
        <v>6</v>
      </c>
      <c r="O95" s="12">
        <v>0</v>
      </c>
      <c r="P95" s="9">
        <v>61.22</v>
      </c>
      <c r="Q95" s="10">
        <f>Table1[[#This Row],[Profit]]/Table1[[#This Row],[Sales]]</f>
        <v>9.0622455776774483E-2</v>
      </c>
      <c r="R95" t="str">
        <f>IF(Table1[[#This Row],[Profit Margin]]&gt;0,"profit","loss")</f>
        <v>profit</v>
      </c>
      <c r="S95" t="str">
        <f>IF(Table1[[#This Row],[Discount]]=0,"No Discount",IF(Table1[[#This Row],[Discount]]&lt;=0.2,"low",IF(Table1[[#This Row],[Discount]]&lt;=0.3,"medium","high")))</f>
        <v>No Discount</v>
      </c>
      <c r="T95" s="15" t="str">
        <f>IF(Table1[[#This Row],[Days]]&lt;=2,"faster",IF(Table1[[#This Row],[Days]]&lt;=4,"Normal","slow"))</f>
        <v>Normal</v>
      </c>
    </row>
    <row r="96" spans="1:20" x14ac:dyDescent="0.25">
      <c r="A96" s="4" t="s">
        <v>129</v>
      </c>
      <c r="B96" s="1">
        <v>45210</v>
      </c>
      <c r="C96" s="1">
        <v>45211</v>
      </c>
      <c r="D96" s="13">
        <f>Table1[[#This Row],[Shipped date]]-Table1[[#This Row],[Order Date]]</f>
        <v>1</v>
      </c>
      <c r="E96" t="s">
        <v>13</v>
      </c>
      <c r="F96" s="13" t="str">
        <f>TEXT(Table1[[#This Row],[Order Date]],"MMMM")</f>
        <v>October</v>
      </c>
      <c r="G96" s="13">
        <f t="shared" si="2"/>
        <v>2023</v>
      </c>
      <c r="H96" s="13" t="str">
        <f t="shared" si="3"/>
        <v>Q4</v>
      </c>
      <c r="I96" s="1" t="s">
        <v>14</v>
      </c>
      <c r="J96" s="7" t="s">
        <v>21</v>
      </c>
      <c r="K96" s="7" t="s">
        <v>16</v>
      </c>
      <c r="L96" t="s">
        <v>17</v>
      </c>
      <c r="M96" s="9">
        <v>728</v>
      </c>
      <c r="N96" s="4">
        <v>4</v>
      </c>
      <c r="O96" s="12">
        <v>0.2</v>
      </c>
      <c r="P96" s="9">
        <v>-52.76</v>
      </c>
      <c r="Q96" s="10">
        <f>Table1[[#This Row],[Profit]]/Table1[[#This Row],[Sales]]</f>
        <v>-7.247252747252747E-2</v>
      </c>
      <c r="R96" t="str">
        <f>IF(Table1[[#This Row],[Profit Margin]]&gt;0,"profit","loss")</f>
        <v>loss</v>
      </c>
      <c r="S96" t="str">
        <f>IF(Table1[[#This Row],[Discount]]=0,"No Discount",IF(Table1[[#This Row],[Discount]]&lt;=0.2,"low",IF(Table1[[#This Row],[Discount]]&lt;=0.3,"medium","high")))</f>
        <v>low</v>
      </c>
      <c r="T96" s="15" t="str">
        <f>IF(Table1[[#This Row],[Days]]&lt;=2,"faster",IF(Table1[[#This Row],[Days]]&lt;=4,"Normal","slow"))</f>
        <v>faster</v>
      </c>
    </row>
    <row r="97" spans="1:20" x14ac:dyDescent="0.25">
      <c r="A97" s="4" t="s">
        <v>130</v>
      </c>
      <c r="B97" s="1">
        <v>44993</v>
      </c>
      <c r="C97" s="1">
        <v>45000</v>
      </c>
      <c r="D97" s="13">
        <f>Table1[[#This Row],[Shipped date]]-Table1[[#This Row],[Order Date]]</f>
        <v>7</v>
      </c>
      <c r="E97" t="s">
        <v>13</v>
      </c>
      <c r="F97" s="13" t="str">
        <f>TEXT(Table1[[#This Row],[Order Date]],"MMMM")</f>
        <v>March</v>
      </c>
      <c r="G97" s="13">
        <f t="shared" si="2"/>
        <v>2023</v>
      </c>
      <c r="H97" s="13" t="str">
        <f t="shared" si="3"/>
        <v>Q1</v>
      </c>
      <c r="I97" s="1" t="s">
        <v>14</v>
      </c>
      <c r="J97" s="7" t="s">
        <v>32</v>
      </c>
      <c r="K97" s="7" t="s">
        <v>22</v>
      </c>
      <c r="L97" t="s">
        <v>40</v>
      </c>
      <c r="M97" s="9">
        <v>773.18</v>
      </c>
      <c r="N97" s="4">
        <v>6</v>
      </c>
      <c r="O97" s="12">
        <v>0.3</v>
      </c>
      <c r="P97" s="9">
        <v>-162.24</v>
      </c>
      <c r="Q97" s="10">
        <f>Table1[[#This Row],[Profit]]/Table1[[#This Row],[Sales]]</f>
        <v>-0.20983470860601675</v>
      </c>
      <c r="R97" t="str">
        <f>IF(Table1[[#This Row],[Profit Margin]]&gt;0,"profit","loss")</f>
        <v>loss</v>
      </c>
      <c r="S97" t="str">
        <f>IF(Table1[[#This Row],[Discount]]=0,"No Discount",IF(Table1[[#This Row],[Discount]]&lt;=0.2,"low",IF(Table1[[#This Row],[Discount]]&lt;=0.3,"medium","high")))</f>
        <v>medium</v>
      </c>
      <c r="T97" s="15" t="str">
        <f>IF(Table1[[#This Row],[Days]]&lt;=2,"faster",IF(Table1[[#This Row],[Days]]&lt;=4,"Normal","slow"))</f>
        <v>slow</v>
      </c>
    </row>
    <row r="98" spans="1:20" x14ac:dyDescent="0.25">
      <c r="A98" s="4" t="s">
        <v>131</v>
      </c>
      <c r="B98" s="1">
        <v>45261</v>
      </c>
      <c r="C98" s="1">
        <v>45267</v>
      </c>
      <c r="D98" s="13">
        <f>Table1[[#This Row],[Shipped date]]-Table1[[#This Row],[Order Date]]</f>
        <v>6</v>
      </c>
      <c r="E98" t="s">
        <v>28</v>
      </c>
      <c r="F98" s="13" t="str">
        <f>TEXT(Table1[[#This Row],[Order Date]],"MMMM")</f>
        <v>December</v>
      </c>
      <c r="G98" s="13">
        <f t="shared" si="2"/>
        <v>2023</v>
      </c>
      <c r="H98" s="13" t="str">
        <f t="shared" si="3"/>
        <v>Q4</v>
      </c>
      <c r="I98" s="1" t="s">
        <v>37</v>
      </c>
      <c r="J98" s="7" t="s">
        <v>26</v>
      </c>
      <c r="K98" s="7" t="s">
        <v>22</v>
      </c>
      <c r="L98" t="s">
        <v>23</v>
      </c>
      <c r="M98" s="9">
        <v>941.65</v>
      </c>
      <c r="N98" s="4">
        <v>6</v>
      </c>
      <c r="O98" s="12">
        <v>0</v>
      </c>
      <c r="P98" s="9">
        <v>93.73</v>
      </c>
      <c r="Q98" s="10">
        <f>Table1[[#This Row],[Profit]]/Table1[[#This Row],[Sales]]</f>
        <v>9.9538044921149052E-2</v>
      </c>
      <c r="R98" t="str">
        <f>IF(Table1[[#This Row],[Profit Margin]]&gt;0,"profit","loss")</f>
        <v>profit</v>
      </c>
      <c r="S98" t="str">
        <f>IF(Table1[[#This Row],[Discount]]=0,"No Discount",IF(Table1[[#This Row],[Discount]]&lt;=0.2,"low",IF(Table1[[#This Row],[Discount]]&lt;=0.3,"medium","high")))</f>
        <v>No Discount</v>
      </c>
      <c r="T98" s="15" t="str">
        <f>IF(Table1[[#This Row],[Days]]&lt;=2,"faster",IF(Table1[[#This Row],[Days]]&lt;=4,"Normal","slow"))</f>
        <v>slow</v>
      </c>
    </row>
    <row r="99" spans="1:20" x14ac:dyDescent="0.25">
      <c r="A99" s="4" t="s">
        <v>132</v>
      </c>
      <c r="B99" s="1">
        <v>45283</v>
      </c>
      <c r="C99" s="1">
        <v>45290</v>
      </c>
      <c r="D99" s="13">
        <f>Table1[[#This Row],[Shipped date]]-Table1[[#This Row],[Order Date]]</f>
        <v>7</v>
      </c>
      <c r="E99" t="s">
        <v>28</v>
      </c>
      <c r="F99" s="13" t="str">
        <f>TEXT(Table1[[#This Row],[Order Date]],"MMMM")</f>
        <v>December</v>
      </c>
      <c r="G99" s="13">
        <f t="shared" si="2"/>
        <v>2023</v>
      </c>
      <c r="H99" s="13" t="str">
        <f t="shared" si="3"/>
        <v>Q4</v>
      </c>
      <c r="I99" s="1" t="s">
        <v>20</v>
      </c>
      <c r="J99" s="7" t="s">
        <v>15</v>
      </c>
      <c r="K99" s="7" t="s">
        <v>22</v>
      </c>
      <c r="L99" t="s">
        <v>23</v>
      </c>
      <c r="M99" s="9">
        <v>885.82</v>
      </c>
      <c r="N99" s="4">
        <v>2</v>
      </c>
      <c r="O99" s="12">
        <v>0.3</v>
      </c>
      <c r="P99" s="9">
        <v>-196.08</v>
      </c>
      <c r="Q99" s="10">
        <f>Table1[[#This Row],[Profit]]/Table1[[#This Row],[Sales]]</f>
        <v>-0.22135422546341244</v>
      </c>
      <c r="R99" t="str">
        <f>IF(Table1[[#This Row],[Profit Margin]]&gt;0,"profit","loss")</f>
        <v>loss</v>
      </c>
      <c r="S99" t="str">
        <f>IF(Table1[[#This Row],[Discount]]=0,"No Discount",IF(Table1[[#This Row],[Discount]]&lt;=0.2,"low",IF(Table1[[#This Row],[Discount]]&lt;=0.3,"medium","high")))</f>
        <v>medium</v>
      </c>
      <c r="T99" s="15" t="str">
        <f>IF(Table1[[#This Row],[Days]]&lt;=2,"faster",IF(Table1[[#This Row],[Days]]&lt;=4,"Normal","slow"))</f>
        <v>slow</v>
      </c>
    </row>
    <row r="100" spans="1:20" x14ac:dyDescent="0.25">
      <c r="A100" s="4" t="s">
        <v>133</v>
      </c>
      <c r="B100" s="1">
        <v>45044</v>
      </c>
      <c r="C100" s="1">
        <v>45045</v>
      </c>
      <c r="D100" s="13">
        <f>Table1[[#This Row],[Shipped date]]-Table1[[#This Row],[Order Date]]</f>
        <v>1</v>
      </c>
      <c r="E100" t="s">
        <v>19</v>
      </c>
      <c r="F100" s="13" t="str">
        <f>TEXT(Table1[[#This Row],[Order Date]],"MMMM")</f>
        <v>April</v>
      </c>
      <c r="G100" s="13">
        <f t="shared" si="2"/>
        <v>2023</v>
      </c>
      <c r="H100" s="13" t="str">
        <f t="shared" si="3"/>
        <v>Q2</v>
      </c>
      <c r="I100" s="1" t="s">
        <v>37</v>
      </c>
      <c r="J100" s="7" t="s">
        <v>32</v>
      </c>
      <c r="K100" s="7" t="s">
        <v>22</v>
      </c>
      <c r="L100" t="s">
        <v>40</v>
      </c>
      <c r="M100" s="9">
        <v>929.75</v>
      </c>
      <c r="N100" s="4">
        <v>9</v>
      </c>
      <c r="O100" s="12">
        <v>0</v>
      </c>
      <c r="P100" s="9">
        <v>111.67</v>
      </c>
      <c r="Q100" s="10">
        <f>Table1[[#This Row],[Profit]]/Table1[[#This Row],[Sales]]</f>
        <v>0.12010755579456843</v>
      </c>
      <c r="R100" t="str">
        <f>IF(Table1[[#This Row],[Profit Margin]]&gt;0,"profit","loss")</f>
        <v>profit</v>
      </c>
      <c r="S100" t="str">
        <f>IF(Table1[[#This Row],[Discount]]=0,"No Discount",IF(Table1[[#This Row],[Discount]]&lt;=0.2,"low",IF(Table1[[#This Row],[Discount]]&lt;=0.3,"medium","high")))</f>
        <v>No Discount</v>
      </c>
      <c r="T100" s="15" t="str">
        <f>IF(Table1[[#This Row],[Days]]&lt;=2,"faster",IF(Table1[[#This Row],[Days]]&lt;=4,"Normal","slow"))</f>
        <v>faster</v>
      </c>
    </row>
    <row r="101" spans="1:20" x14ac:dyDescent="0.25">
      <c r="A101" s="4" t="s">
        <v>134</v>
      </c>
      <c r="B101" s="1">
        <v>45153</v>
      </c>
      <c r="C101" s="1">
        <v>45157</v>
      </c>
      <c r="D101" s="13">
        <f>Table1[[#This Row],[Shipped date]]-Table1[[#This Row],[Order Date]]</f>
        <v>4</v>
      </c>
      <c r="E101" t="s">
        <v>28</v>
      </c>
      <c r="F101" s="13" t="str">
        <f>TEXT(Table1[[#This Row],[Order Date]],"MMMM")</f>
        <v>August</v>
      </c>
      <c r="G101" s="13">
        <f t="shared" si="2"/>
        <v>2023</v>
      </c>
      <c r="H101" s="13" t="str">
        <f t="shared" si="3"/>
        <v>Q3</v>
      </c>
      <c r="I101" s="1" t="s">
        <v>14</v>
      </c>
      <c r="J101" s="7" t="s">
        <v>21</v>
      </c>
      <c r="K101" s="7" t="s">
        <v>22</v>
      </c>
      <c r="L101" t="s">
        <v>35</v>
      </c>
      <c r="M101" s="9">
        <v>580.85</v>
      </c>
      <c r="N101" s="4">
        <v>3</v>
      </c>
      <c r="O101" s="12">
        <v>0.3</v>
      </c>
      <c r="P101" s="9">
        <v>-76.459999999999994</v>
      </c>
      <c r="Q101" s="10">
        <f>Table1[[#This Row],[Profit]]/Table1[[#This Row],[Sales]]</f>
        <v>-0.13163467332357751</v>
      </c>
      <c r="R101" t="str">
        <f>IF(Table1[[#This Row],[Profit Margin]]&gt;0,"profit","loss")</f>
        <v>loss</v>
      </c>
      <c r="S101" t="str">
        <f>IF(Table1[[#This Row],[Discount]]=0,"No Discount",IF(Table1[[#This Row],[Discount]]&lt;=0.2,"low",IF(Table1[[#This Row],[Discount]]&lt;=0.3,"medium","high")))</f>
        <v>medium</v>
      </c>
      <c r="T101" s="15" t="str">
        <f>IF(Table1[[#This Row],[Days]]&lt;=2,"faster",IF(Table1[[#This Row],[Days]]&lt;=4,"Normal","slow"))</f>
        <v>Normal</v>
      </c>
    </row>
    <row r="102" spans="1:20" x14ac:dyDescent="0.25">
      <c r="A102" s="4" t="s">
        <v>135</v>
      </c>
      <c r="B102" s="1">
        <v>44968</v>
      </c>
      <c r="C102" s="1">
        <v>44972</v>
      </c>
      <c r="D102" s="13">
        <f>Table1[[#This Row],[Shipped date]]-Table1[[#This Row],[Order Date]]</f>
        <v>4</v>
      </c>
      <c r="E102" t="s">
        <v>28</v>
      </c>
      <c r="F102" s="13" t="str">
        <f>TEXT(Table1[[#This Row],[Order Date]],"MMMM")</f>
        <v>February</v>
      </c>
      <c r="G102" s="13">
        <f t="shared" si="2"/>
        <v>2023</v>
      </c>
      <c r="H102" s="13" t="str">
        <f t="shared" si="3"/>
        <v>Q1</v>
      </c>
      <c r="I102" s="1" t="s">
        <v>20</v>
      </c>
      <c r="J102" s="7" t="s">
        <v>15</v>
      </c>
      <c r="K102" s="7" t="s">
        <v>29</v>
      </c>
      <c r="L102" t="s">
        <v>45</v>
      </c>
      <c r="M102" s="9">
        <v>308.56</v>
      </c>
      <c r="N102" s="4">
        <v>3</v>
      </c>
      <c r="O102" s="12">
        <v>0</v>
      </c>
      <c r="P102" s="9">
        <v>24.22</v>
      </c>
      <c r="Q102" s="10">
        <f>Table1[[#This Row],[Profit]]/Table1[[#This Row],[Sales]]</f>
        <v>7.8493647912885656E-2</v>
      </c>
      <c r="R102" t="str">
        <f>IF(Table1[[#This Row],[Profit Margin]]&gt;0,"profit","loss")</f>
        <v>profit</v>
      </c>
      <c r="S102" t="str">
        <f>IF(Table1[[#This Row],[Discount]]=0,"No Discount",IF(Table1[[#This Row],[Discount]]&lt;=0.2,"low",IF(Table1[[#This Row],[Discount]]&lt;=0.3,"medium","high")))</f>
        <v>No Discount</v>
      </c>
      <c r="T102" s="15" t="str">
        <f>IF(Table1[[#This Row],[Days]]&lt;=2,"faster",IF(Table1[[#This Row],[Days]]&lt;=4,"Normal","slow"))</f>
        <v>Normal</v>
      </c>
    </row>
    <row r="103" spans="1:20" x14ac:dyDescent="0.25">
      <c r="A103" s="4" t="s">
        <v>136</v>
      </c>
      <c r="B103" s="1">
        <v>45201</v>
      </c>
      <c r="C103" s="1">
        <v>45203</v>
      </c>
      <c r="D103" s="13">
        <f>Table1[[#This Row],[Shipped date]]-Table1[[#This Row],[Order Date]]</f>
        <v>2</v>
      </c>
      <c r="E103" t="s">
        <v>28</v>
      </c>
      <c r="F103" s="13" t="str">
        <f>TEXT(Table1[[#This Row],[Order Date]],"MMMM")</f>
        <v>October</v>
      </c>
      <c r="G103" s="13">
        <f t="shared" si="2"/>
        <v>2023</v>
      </c>
      <c r="H103" s="13" t="str">
        <f t="shared" si="3"/>
        <v>Q4</v>
      </c>
      <c r="I103" s="1" t="s">
        <v>20</v>
      </c>
      <c r="J103" s="7" t="s">
        <v>15</v>
      </c>
      <c r="K103" s="7" t="s">
        <v>16</v>
      </c>
      <c r="L103" t="s">
        <v>17</v>
      </c>
      <c r="M103" s="9">
        <v>283.11</v>
      </c>
      <c r="N103" s="4">
        <v>10</v>
      </c>
      <c r="O103" s="12">
        <v>0.2</v>
      </c>
      <c r="P103" s="9">
        <v>-36.450000000000003</v>
      </c>
      <c r="Q103" s="10">
        <f>Table1[[#This Row],[Profit]]/Table1[[#This Row],[Sales]]</f>
        <v>-0.12874854296916394</v>
      </c>
      <c r="R103" t="str">
        <f>IF(Table1[[#This Row],[Profit Margin]]&gt;0,"profit","loss")</f>
        <v>loss</v>
      </c>
      <c r="S103" t="str">
        <f>IF(Table1[[#This Row],[Discount]]=0,"No Discount",IF(Table1[[#This Row],[Discount]]&lt;=0.2,"low",IF(Table1[[#This Row],[Discount]]&lt;=0.3,"medium","high")))</f>
        <v>low</v>
      </c>
      <c r="T103" s="15" t="str">
        <f>IF(Table1[[#This Row],[Days]]&lt;=2,"faster",IF(Table1[[#This Row],[Days]]&lt;=4,"Normal","slow"))</f>
        <v>faster</v>
      </c>
    </row>
    <row r="104" spans="1:20" x14ac:dyDescent="0.25">
      <c r="A104" s="4" t="s">
        <v>137</v>
      </c>
      <c r="B104" s="1">
        <v>45042</v>
      </c>
      <c r="C104" s="1">
        <v>45049</v>
      </c>
      <c r="D104" s="13">
        <f>Table1[[#This Row],[Shipped date]]-Table1[[#This Row],[Order Date]]</f>
        <v>7</v>
      </c>
      <c r="E104" t="s">
        <v>28</v>
      </c>
      <c r="F104" s="13" t="str">
        <f>TEXT(Table1[[#This Row],[Order Date]],"MMMM")</f>
        <v>April</v>
      </c>
      <c r="G104" s="13">
        <f t="shared" si="2"/>
        <v>2023</v>
      </c>
      <c r="H104" s="13" t="str">
        <f t="shared" si="3"/>
        <v>Q2</v>
      </c>
      <c r="I104" s="1" t="s">
        <v>37</v>
      </c>
      <c r="J104" s="7" t="s">
        <v>15</v>
      </c>
      <c r="K104" s="7" t="s">
        <v>22</v>
      </c>
      <c r="L104" t="s">
        <v>40</v>
      </c>
      <c r="M104" s="9">
        <v>565.66999999999996</v>
      </c>
      <c r="N104" s="4">
        <v>8</v>
      </c>
      <c r="O104" s="12">
        <v>0.2</v>
      </c>
      <c r="P104" s="9">
        <v>-17.47</v>
      </c>
      <c r="Q104" s="10">
        <f>Table1[[#This Row],[Profit]]/Table1[[#This Row],[Sales]]</f>
        <v>-3.0883730797107854E-2</v>
      </c>
      <c r="R104" t="str">
        <f>IF(Table1[[#This Row],[Profit Margin]]&gt;0,"profit","loss")</f>
        <v>loss</v>
      </c>
      <c r="S104" t="str">
        <f>IF(Table1[[#This Row],[Discount]]=0,"No Discount",IF(Table1[[#This Row],[Discount]]&lt;=0.2,"low",IF(Table1[[#This Row],[Discount]]&lt;=0.3,"medium","high")))</f>
        <v>low</v>
      </c>
      <c r="T104" s="15" t="str">
        <f>IF(Table1[[#This Row],[Days]]&lt;=2,"faster",IF(Table1[[#This Row],[Days]]&lt;=4,"Normal","slow"))</f>
        <v>slow</v>
      </c>
    </row>
    <row r="105" spans="1:20" x14ac:dyDescent="0.25">
      <c r="A105" s="4" t="s">
        <v>138</v>
      </c>
      <c r="B105" s="1">
        <v>45039</v>
      </c>
      <c r="C105" s="1">
        <v>45040</v>
      </c>
      <c r="D105" s="13">
        <f>Table1[[#This Row],[Shipped date]]-Table1[[#This Row],[Order Date]]</f>
        <v>1</v>
      </c>
      <c r="E105" t="s">
        <v>25</v>
      </c>
      <c r="F105" s="13" t="str">
        <f>TEXT(Table1[[#This Row],[Order Date]],"MMMM")</f>
        <v>April</v>
      </c>
      <c r="G105" s="13">
        <f t="shared" si="2"/>
        <v>2023</v>
      </c>
      <c r="H105" s="13" t="str">
        <f t="shared" si="3"/>
        <v>Q2</v>
      </c>
      <c r="I105" s="1" t="s">
        <v>20</v>
      </c>
      <c r="J105" s="7" t="s">
        <v>21</v>
      </c>
      <c r="K105" s="7" t="s">
        <v>22</v>
      </c>
      <c r="L105" t="s">
        <v>35</v>
      </c>
      <c r="M105" s="9">
        <v>931.42</v>
      </c>
      <c r="N105" s="4">
        <v>8</v>
      </c>
      <c r="O105" s="12">
        <v>0.1</v>
      </c>
      <c r="P105" s="9">
        <v>-13.2</v>
      </c>
      <c r="Q105" s="10">
        <f>Table1[[#This Row],[Profit]]/Table1[[#This Row],[Sales]]</f>
        <v>-1.4171909557449914E-2</v>
      </c>
      <c r="R105" t="str">
        <f>IF(Table1[[#This Row],[Profit Margin]]&gt;0,"profit","loss")</f>
        <v>loss</v>
      </c>
      <c r="S105" t="str">
        <f>IF(Table1[[#This Row],[Discount]]=0,"No Discount",IF(Table1[[#This Row],[Discount]]&lt;=0.2,"low",IF(Table1[[#This Row],[Discount]]&lt;=0.3,"medium","high")))</f>
        <v>low</v>
      </c>
      <c r="T105" s="15" t="str">
        <f>IF(Table1[[#This Row],[Days]]&lt;=2,"faster",IF(Table1[[#This Row],[Days]]&lt;=4,"Normal","slow"))</f>
        <v>faster</v>
      </c>
    </row>
    <row r="106" spans="1:20" x14ac:dyDescent="0.25">
      <c r="A106" s="4" t="s">
        <v>139</v>
      </c>
      <c r="B106" s="1">
        <v>45055</v>
      </c>
      <c r="C106" s="1">
        <v>45056</v>
      </c>
      <c r="D106" s="13">
        <f>Table1[[#This Row],[Shipped date]]-Table1[[#This Row],[Order Date]]</f>
        <v>1</v>
      </c>
      <c r="E106" t="s">
        <v>28</v>
      </c>
      <c r="F106" s="13" t="str">
        <f>TEXT(Table1[[#This Row],[Order Date]],"MMMM")</f>
        <v>May</v>
      </c>
      <c r="G106" s="13">
        <f t="shared" si="2"/>
        <v>2023</v>
      </c>
      <c r="H106" s="13" t="str">
        <f t="shared" si="3"/>
        <v>Q2</v>
      </c>
      <c r="I106" s="1" t="s">
        <v>14</v>
      </c>
      <c r="J106" s="7" t="s">
        <v>32</v>
      </c>
      <c r="K106" s="7" t="s">
        <v>16</v>
      </c>
      <c r="L106" t="s">
        <v>33</v>
      </c>
      <c r="M106" s="9">
        <v>622.71</v>
      </c>
      <c r="N106" s="4">
        <v>1</v>
      </c>
      <c r="O106" s="12">
        <v>0.1</v>
      </c>
      <c r="P106" s="9">
        <v>5.1100000000000003</v>
      </c>
      <c r="Q106" s="10">
        <f>Table1[[#This Row],[Profit]]/Table1[[#This Row],[Sales]]</f>
        <v>8.2060670295964408E-3</v>
      </c>
      <c r="R106" t="str">
        <f>IF(Table1[[#This Row],[Profit Margin]]&gt;0,"profit","loss")</f>
        <v>profit</v>
      </c>
      <c r="S106" t="str">
        <f>IF(Table1[[#This Row],[Discount]]=0,"No Discount",IF(Table1[[#This Row],[Discount]]&lt;=0.2,"low",IF(Table1[[#This Row],[Discount]]&lt;=0.3,"medium","high")))</f>
        <v>low</v>
      </c>
      <c r="T106" s="15" t="str">
        <f>IF(Table1[[#This Row],[Days]]&lt;=2,"faster",IF(Table1[[#This Row],[Days]]&lt;=4,"Normal","slow"))</f>
        <v>faster</v>
      </c>
    </row>
    <row r="107" spans="1:20" x14ac:dyDescent="0.25">
      <c r="A107" s="4" t="s">
        <v>140</v>
      </c>
      <c r="B107" s="1">
        <v>45062</v>
      </c>
      <c r="C107" s="1">
        <v>45069</v>
      </c>
      <c r="D107" s="13">
        <f>Table1[[#This Row],[Shipped date]]-Table1[[#This Row],[Order Date]]</f>
        <v>7</v>
      </c>
      <c r="E107" t="s">
        <v>19</v>
      </c>
      <c r="F107" s="13" t="str">
        <f>TEXT(Table1[[#This Row],[Order Date]],"MMMM")</f>
        <v>May</v>
      </c>
      <c r="G107" s="13">
        <f t="shared" si="2"/>
        <v>2023</v>
      </c>
      <c r="H107" s="13" t="str">
        <f t="shared" si="3"/>
        <v>Q2</v>
      </c>
      <c r="I107" s="1" t="s">
        <v>37</v>
      </c>
      <c r="J107" s="7" t="s">
        <v>21</v>
      </c>
      <c r="K107" s="7" t="s">
        <v>29</v>
      </c>
      <c r="L107" t="s">
        <v>43</v>
      </c>
      <c r="M107" s="9">
        <v>269.08</v>
      </c>
      <c r="N107" s="4">
        <v>5</v>
      </c>
      <c r="O107" s="12">
        <v>0.1</v>
      </c>
      <c r="P107" s="9">
        <v>41.42</v>
      </c>
      <c r="Q107" s="10">
        <f>Table1[[#This Row],[Profit]]/Table1[[#This Row],[Sales]]</f>
        <v>0.1539319161587632</v>
      </c>
      <c r="R107" t="str">
        <f>IF(Table1[[#This Row],[Profit Margin]]&gt;0,"profit","loss")</f>
        <v>profit</v>
      </c>
      <c r="S107" t="str">
        <f>IF(Table1[[#This Row],[Discount]]=0,"No Discount",IF(Table1[[#This Row],[Discount]]&lt;=0.2,"low",IF(Table1[[#This Row],[Discount]]&lt;=0.3,"medium","high")))</f>
        <v>low</v>
      </c>
      <c r="T107" s="15" t="str">
        <f>IF(Table1[[#This Row],[Days]]&lt;=2,"faster",IF(Table1[[#This Row],[Days]]&lt;=4,"Normal","slow"))</f>
        <v>slow</v>
      </c>
    </row>
    <row r="108" spans="1:20" x14ac:dyDescent="0.25">
      <c r="A108" s="4" t="s">
        <v>141</v>
      </c>
      <c r="B108" s="1">
        <v>44930</v>
      </c>
      <c r="C108" s="1">
        <v>44934</v>
      </c>
      <c r="D108" s="13">
        <f>Table1[[#This Row],[Shipped date]]-Table1[[#This Row],[Order Date]]</f>
        <v>4</v>
      </c>
      <c r="E108" t="s">
        <v>13</v>
      </c>
      <c r="F108" s="13" t="str">
        <f>TEXT(Table1[[#This Row],[Order Date]],"MMMM")</f>
        <v>January</v>
      </c>
      <c r="G108" s="13">
        <f t="shared" si="2"/>
        <v>2023</v>
      </c>
      <c r="H108" s="13" t="str">
        <f t="shared" si="3"/>
        <v>Q1</v>
      </c>
      <c r="I108" s="1" t="s">
        <v>20</v>
      </c>
      <c r="J108" s="7" t="s">
        <v>21</v>
      </c>
      <c r="K108" s="7" t="s">
        <v>29</v>
      </c>
      <c r="L108" t="s">
        <v>30</v>
      </c>
      <c r="M108" s="9">
        <v>745.95</v>
      </c>
      <c r="N108" s="4">
        <v>4</v>
      </c>
      <c r="O108" s="12">
        <v>0</v>
      </c>
      <c r="P108" s="9">
        <v>64.16</v>
      </c>
      <c r="Q108" s="10">
        <f>Table1[[#This Row],[Profit]]/Table1[[#This Row],[Sales]]</f>
        <v>8.6011126751122713E-2</v>
      </c>
      <c r="R108" t="str">
        <f>IF(Table1[[#This Row],[Profit Margin]]&gt;0,"profit","loss")</f>
        <v>profit</v>
      </c>
      <c r="S108" t="str">
        <f>IF(Table1[[#This Row],[Discount]]=0,"No Discount",IF(Table1[[#This Row],[Discount]]&lt;=0.2,"low",IF(Table1[[#This Row],[Discount]]&lt;=0.3,"medium","high")))</f>
        <v>No Discount</v>
      </c>
      <c r="T108" s="15" t="str">
        <f>IF(Table1[[#This Row],[Days]]&lt;=2,"faster",IF(Table1[[#This Row],[Days]]&lt;=4,"Normal","slow"))</f>
        <v>Normal</v>
      </c>
    </row>
    <row r="109" spans="1:20" x14ac:dyDescent="0.25">
      <c r="A109" s="4" t="s">
        <v>142</v>
      </c>
      <c r="B109" s="1">
        <v>45074</v>
      </c>
      <c r="C109" s="1">
        <v>45080</v>
      </c>
      <c r="D109" s="13">
        <f>Table1[[#This Row],[Shipped date]]-Table1[[#This Row],[Order Date]]</f>
        <v>6</v>
      </c>
      <c r="E109" t="s">
        <v>19</v>
      </c>
      <c r="F109" s="13" t="str">
        <f>TEXT(Table1[[#This Row],[Order Date]],"MMMM")</f>
        <v>May</v>
      </c>
      <c r="G109" s="13">
        <f t="shared" si="2"/>
        <v>2023</v>
      </c>
      <c r="H109" s="13" t="str">
        <f t="shared" si="3"/>
        <v>Q2</v>
      </c>
      <c r="I109" s="1" t="s">
        <v>14</v>
      </c>
      <c r="J109" s="7" t="s">
        <v>26</v>
      </c>
      <c r="K109" s="7" t="s">
        <v>29</v>
      </c>
      <c r="L109" t="s">
        <v>43</v>
      </c>
      <c r="M109" s="9">
        <v>714.73</v>
      </c>
      <c r="N109" s="4">
        <v>9</v>
      </c>
      <c r="O109" s="12">
        <v>0.2</v>
      </c>
      <c r="P109" s="9">
        <v>-70.92</v>
      </c>
      <c r="Q109" s="10">
        <f>Table1[[#This Row],[Profit]]/Table1[[#This Row],[Sales]]</f>
        <v>-9.92262812530606E-2</v>
      </c>
      <c r="R109" t="str">
        <f>IF(Table1[[#This Row],[Profit Margin]]&gt;0,"profit","loss")</f>
        <v>loss</v>
      </c>
      <c r="S109" t="str">
        <f>IF(Table1[[#This Row],[Discount]]=0,"No Discount",IF(Table1[[#This Row],[Discount]]&lt;=0.2,"low",IF(Table1[[#This Row],[Discount]]&lt;=0.3,"medium","high")))</f>
        <v>low</v>
      </c>
      <c r="T109" s="15" t="str">
        <f>IF(Table1[[#This Row],[Days]]&lt;=2,"faster",IF(Table1[[#This Row],[Days]]&lt;=4,"Normal","slow"))</f>
        <v>slow</v>
      </c>
    </row>
    <row r="110" spans="1:20" x14ac:dyDescent="0.25">
      <c r="A110" s="4" t="s">
        <v>143</v>
      </c>
      <c r="B110" s="1">
        <v>45141</v>
      </c>
      <c r="C110" s="1">
        <v>45147</v>
      </c>
      <c r="D110" s="13">
        <f>Table1[[#This Row],[Shipped date]]-Table1[[#This Row],[Order Date]]</f>
        <v>6</v>
      </c>
      <c r="E110" t="s">
        <v>19</v>
      </c>
      <c r="F110" s="13" t="str">
        <f>TEXT(Table1[[#This Row],[Order Date]],"MMMM")</f>
        <v>August</v>
      </c>
      <c r="G110" s="13">
        <f t="shared" si="2"/>
        <v>2023</v>
      </c>
      <c r="H110" s="13" t="str">
        <f t="shared" si="3"/>
        <v>Q3</v>
      </c>
      <c r="I110" s="1" t="s">
        <v>37</v>
      </c>
      <c r="J110" s="7" t="s">
        <v>32</v>
      </c>
      <c r="K110" s="7" t="s">
        <v>16</v>
      </c>
      <c r="L110" t="s">
        <v>17</v>
      </c>
      <c r="M110" s="9">
        <v>813.17</v>
      </c>
      <c r="N110" s="4">
        <v>6</v>
      </c>
      <c r="O110" s="12">
        <v>0.2</v>
      </c>
      <c r="P110" s="9">
        <v>-83.38</v>
      </c>
      <c r="Q110" s="10">
        <f>Table1[[#This Row],[Profit]]/Table1[[#This Row],[Sales]]</f>
        <v>-0.10253698488630913</v>
      </c>
      <c r="R110" t="str">
        <f>IF(Table1[[#This Row],[Profit Margin]]&gt;0,"profit","loss")</f>
        <v>loss</v>
      </c>
      <c r="S110" t="str">
        <f>IF(Table1[[#This Row],[Discount]]=0,"No Discount",IF(Table1[[#This Row],[Discount]]&lt;=0.2,"low",IF(Table1[[#This Row],[Discount]]&lt;=0.3,"medium","high")))</f>
        <v>low</v>
      </c>
      <c r="T110" s="15" t="str">
        <f>IF(Table1[[#This Row],[Days]]&lt;=2,"faster",IF(Table1[[#This Row],[Days]]&lt;=4,"Normal","slow"))</f>
        <v>slow</v>
      </c>
    </row>
    <row r="111" spans="1:20" x14ac:dyDescent="0.25">
      <c r="A111" s="4" t="s">
        <v>144</v>
      </c>
      <c r="B111" s="1">
        <v>45044</v>
      </c>
      <c r="C111" s="1">
        <v>45047</v>
      </c>
      <c r="D111" s="13">
        <f>Table1[[#This Row],[Shipped date]]-Table1[[#This Row],[Order Date]]</f>
        <v>3</v>
      </c>
      <c r="E111" t="s">
        <v>19</v>
      </c>
      <c r="F111" s="13" t="str">
        <f>TEXT(Table1[[#This Row],[Order Date]],"MMMM")</f>
        <v>April</v>
      </c>
      <c r="G111" s="13">
        <f t="shared" si="2"/>
        <v>2023</v>
      </c>
      <c r="H111" s="13" t="str">
        <f t="shared" si="3"/>
        <v>Q2</v>
      </c>
      <c r="I111" s="1" t="s">
        <v>37</v>
      </c>
      <c r="J111" s="7" t="s">
        <v>21</v>
      </c>
      <c r="K111" s="7" t="s">
        <v>22</v>
      </c>
      <c r="L111" t="s">
        <v>40</v>
      </c>
      <c r="M111" s="9">
        <v>619.28</v>
      </c>
      <c r="N111" s="4">
        <v>2</v>
      </c>
      <c r="O111" s="12">
        <v>0.3</v>
      </c>
      <c r="P111" s="9">
        <v>-108.06</v>
      </c>
      <c r="Q111" s="10">
        <f>Table1[[#This Row],[Profit]]/Table1[[#This Row],[Sales]]</f>
        <v>-0.17449295956594757</v>
      </c>
      <c r="R111" t="str">
        <f>IF(Table1[[#This Row],[Profit Margin]]&gt;0,"profit","loss")</f>
        <v>loss</v>
      </c>
      <c r="S111" t="str">
        <f>IF(Table1[[#This Row],[Discount]]=0,"No Discount",IF(Table1[[#This Row],[Discount]]&lt;=0.2,"low",IF(Table1[[#This Row],[Discount]]&lt;=0.3,"medium","high")))</f>
        <v>medium</v>
      </c>
      <c r="T111" s="15" t="str">
        <f>IF(Table1[[#This Row],[Days]]&lt;=2,"faster",IF(Table1[[#This Row],[Days]]&lt;=4,"Normal","slow"))</f>
        <v>Normal</v>
      </c>
    </row>
    <row r="112" spans="1:20" x14ac:dyDescent="0.25">
      <c r="A112" s="4" t="s">
        <v>145</v>
      </c>
      <c r="B112" s="1">
        <v>44954</v>
      </c>
      <c r="C112" s="1">
        <v>44960</v>
      </c>
      <c r="D112" s="13">
        <f>Table1[[#This Row],[Shipped date]]-Table1[[#This Row],[Order Date]]</f>
        <v>6</v>
      </c>
      <c r="E112" t="s">
        <v>25</v>
      </c>
      <c r="F112" s="13" t="str">
        <f>TEXT(Table1[[#This Row],[Order Date]],"MMMM")</f>
        <v>January</v>
      </c>
      <c r="G112" s="13">
        <f t="shared" si="2"/>
        <v>2023</v>
      </c>
      <c r="H112" s="13" t="str">
        <f t="shared" si="3"/>
        <v>Q1</v>
      </c>
      <c r="I112" s="1" t="s">
        <v>20</v>
      </c>
      <c r="J112" s="7" t="s">
        <v>15</v>
      </c>
      <c r="K112" s="7" t="s">
        <v>29</v>
      </c>
      <c r="L112" t="s">
        <v>30</v>
      </c>
      <c r="M112" s="9">
        <v>511.49</v>
      </c>
      <c r="N112" s="4">
        <v>8</v>
      </c>
      <c r="O112" s="12">
        <v>0</v>
      </c>
      <c r="P112" s="9">
        <v>44.75</v>
      </c>
      <c r="Q112" s="10">
        <f>Table1[[#This Row],[Profit]]/Table1[[#This Row],[Sales]]</f>
        <v>8.7489491485659543E-2</v>
      </c>
      <c r="R112" t="str">
        <f>IF(Table1[[#This Row],[Profit Margin]]&gt;0,"profit","loss")</f>
        <v>profit</v>
      </c>
      <c r="S112" t="str">
        <f>IF(Table1[[#This Row],[Discount]]=0,"No Discount",IF(Table1[[#This Row],[Discount]]&lt;=0.2,"low",IF(Table1[[#This Row],[Discount]]&lt;=0.3,"medium","high")))</f>
        <v>No Discount</v>
      </c>
      <c r="T112" s="15" t="str">
        <f>IF(Table1[[#This Row],[Days]]&lt;=2,"faster",IF(Table1[[#This Row],[Days]]&lt;=4,"Normal","slow"))</f>
        <v>slow</v>
      </c>
    </row>
    <row r="113" spans="1:20" x14ac:dyDescent="0.25">
      <c r="A113" s="4" t="s">
        <v>146</v>
      </c>
      <c r="B113" s="1">
        <v>45286</v>
      </c>
      <c r="C113" s="1">
        <v>45293</v>
      </c>
      <c r="D113" s="13">
        <f>Table1[[#This Row],[Shipped date]]-Table1[[#This Row],[Order Date]]</f>
        <v>7</v>
      </c>
      <c r="E113" t="s">
        <v>13</v>
      </c>
      <c r="F113" s="13" t="str">
        <f>TEXT(Table1[[#This Row],[Order Date]],"MMMM")</f>
        <v>December</v>
      </c>
      <c r="G113" s="13">
        <f t="shared" si="2"/>
        <v>2023</v>
      </c>
      <c r="H113" s="13" t="str">
        <f t="shared" si="3"/>
        <v>Q4</v>
      </c>
      <c r="I113" s="1" t="s">
        <v>37</v>
      </c>
      <c r="J113" s="7" t="s">
        <v>32</v>
      </c>
      <c r="K113" s="7" t="s">
        <v>29</v>
      </c>
      <c r="L113" t="s">
        <v>43</v>
      </c>
      <c r="M113" s="9">
        <v>89.52</v>
      </c>
      <c r="N113" s="4">
        <v>4</v>
      </c>
      <c r="O113" s="12">
        <v>0.1</v>
      </c>
      <c r="P113" s="9">
        <v>35.71</v>
      </c>
      <c r="Q113" s="10">
        <f>Table1[[#This Row],[Profit]]/Table1[[#This Row],[Sales]]</f>
        <v>0.39890527256479003</v>
      </c>
      <c r="R113" t="str">
        <f>IF(Table1[[#This Row],[Profit Margin]]&gt;0,"profit","loss")</f>
        <v>profit</v>
      </c>
      <c r="S113" t="str">
        <f>IF(Table1[[#This Row],[Discount]]=0,"No Discount",IF(Table1[[#This Row],[Discount]]&lt;=0.2,"low",IF(Table1[[#This Row],[Discount]]&lt;=0.3,"medium","high")))</f>
        <v>low</v>
      </c>
      <c r="T113" s="15" t="str">
        <f>IF(Table1[[#This Row],[Days]]&lt;=2,"faster",IF(Table1[[#This Row],[Days]]&lt;=4,"Normal","slow"))</f>
        <v>slow</v>
      </c>
    </row>
    <row r="114" spans="1:20" x14ac:dyDescent="0.25">
      <c r="A114" s="4" t="s">
        <v>147</v>
      </c>
      <c r="B114" s="1">
        <v>44966</v>
      </c>
      <c r="C114" s="1">
        <v>44969</v>
      </c>
      <c r="D114" s="13">
        <f>Table1[[#This Row],[Shipped date]]-Table1[[#This Row],[Order Date]]</f>
        <v>3</v>
      </c>
      <c r="E114" t="s">
        <v>13</v>
      </c>
      <c r="F114" s="13" t="str">
        <f>TEXT(Table1[[#This Row],[Order Date]],"MMMM")</f>
        <v>February</v>
      </c>
      <c r="G114" s="13">
        <f t="shared" si="2"/>
        <v>2023</v>
      </c>
      <c r="H114" s="13" t="str">
        <f t="shared" si="3"/>
        <v>Q1</v>
      </c>
      <c r="I114" s="1" t="s">
        <v>37</v>
      </c>
      <c r="J114" s="7" t="s">
        <v>15</v>
      </c>
      <c r="K114" s="7" t="s">
        <v>22</v>
      </c>
      <c r="L114" t="s">
        <v>23</v>
      </c>
      <c r="M114" s="9">
        <v>892.21</v>
      </c>
      <c r="N114" s="4">
        <v>4</v>
      </c>
      <c r="O114" s="12">
        <v>0.2</v>
      </c>
      <c r="P114" s="9">
        <v>-107.29</v>
      </c>
      <c r="Q114" s="10">
        <f>Table1[[#This Row],[Profit]]/Table1[[#This Row],[Sales]]</f>
        <v>-0.1202519586196075</v>
      </c>
      <c r="R114" t="str">
        <f>IF(Table1[[#This Row],[Profit Margin]]&gt;0,"profit","loss")</f>
        <v>loss</v>
      </c>
      <c r="S114" t="str">
        <f>IF(Table1[[#This Row],[Discount]]=0,"No Discount",IF(Table1[[#This Row],[Discount]]&lt;=0.2,"low",IF(Table1[[#This Row],[Discount]]&lt;=0.3,"medium","high")))</f>
        <v>low</v>
      </c>
      <c r="T114" s="15" t="str">
        <f>IF(Table1[[#This Row],[Days]]&lt;=2,"faster",IF(Table1[[#This Row],[Days]]&lt;=4,"Normal","slow"))</f>
        <v>Normal</v>
      </c>
    </row>
    <row r="115" spans="1:20" x14ac:dyDescent="0.25">
      <c r="A115" s="4" t="s">
        <v>148</v>
      </c>
      <c r="B115" s="1">
        <v>44990</v>
      </c>
      <c r="C115" s="1">
        <v>44992</v>
      </c>
      <c r="D115" s="13">
        <f>Table1[[#This Row],[Shipped date]]-Table1[[#This Row],[Order Date]]</f>
        <v>2</v>
      </c>
      <c r="E115" t="s">
        <v>13</v>
      </c>
      <c r="F115" s="13" t="str">
        <f>TEXT(Table1[[#This Row],[Order Date]],"MMMM")</f>
        <v>March</v>
      </c>
      <c r="G115" s="13">
        <f t="shared" si="2"/>
        <v>2023</v>
      </c>
      <c r="H115" s="13" t="str">
        <f t="shared" si="3"/>
        <v>Q1</v>
      </c>
      <c r="I115" s="1" t="s">
        <v>20</v>
      </c>
      <c r="J115" s="7" t="s">
        <v>26</v>
      </c>
      <c r="K115" s="7" t="s">
        <v>29</v>
      </c>
      <c r="L115" t="s">
        <v>43</v>
      </c>
      <c r="M115" s="9">
        <v>587.29</v>
      </c>
      <c r="N115" s="4">
        <v>8</v>
      </c>
      <c r="O115" s="12">
        <v>0.3</v>
      </c>
      <c r="P115" s="9">
        <v>-96.98</v>
      </c>
      <c r="Q115" s="10">
        <f>Table1[[#This Row],[Profit]]/Table1[[#This Row],[Sales]]</f>
        <v>-0.16513136610533127</v>
      </c>
      <c r="R115" t="str">
        <f>IF(Table1[[#This Row],[Profit Margin]]&gt;0,"profit","loss")</f>
        <v>loss</v>
      </c>
      <c r="S115" t="str">
        <f>IF(Table1[[#This Row],[Discount]]=0,"No Discount",IF(Table1[[#This Row],[Discount]]&lt;=0.2,"low",IF(Table1[[#This Row],[Discount]]&lt;=0.3,"medium","high")))</f>
        <v>medium</v>
      </c>
      <c r="T115" s="15" t="str">
        <f>IF(Table1[[#This Row],[Days]]&lt;=2,"faster",IF(Table1[[#This Row],[Days]]&lt;=4,"Normal","slow"))</f>
        <v>faster</v>
      </c>
    </row>
    <row r="116" spans="1:20" x14ac:dyDescent="0.25">
      <c r="A116" s="4" t="s">
        <v>149</v>
      </c>
      <c r="B116" s="1">
        <v>45112</v>
      </c>
      <c r="C116" s="1">
        <v>45116</v>
      </c>
      <c r="D116" s="13">
        <f>Table1[[#This Row],[Shipped date]]-Table1[[#This Row],[Order Date]]</f>
        <v>4</v>
      </c>
      <c r="E116" t="s">
        <v>28</v>
      </c>
      <c r="F116" s="13" t="str">
        <f>TEXT(Table1[[#This Row],[Order Date]],"MMMM")</f>
        <v>July</v>
      </c>
      <c r="G116" s="13">
        <f t="shared" si="2"/>
        <v>2023</v>
      </c>
      <c r="H116" s="13" t="str">
        <f t="shared" si="3"/>
        <v>Q3</v>
      </c>
      <c r="I116" s="1" t="s">
        <v>20</v>
      </c>
      <c r="J116" s="7" t="s">
        <v>15</v>
      </c>
      <c r="K116" s="7" t="s">
        <v>16</v>
      </c>
      <c r="L116" t="s">
        <v>38</v>
      </c>
      <c r="M116" s="9">
        <v>55.22</v>
      </c>
      <c r="N116" s="4">
        <v>2</v>
      </c>
      <c r="O116" s="12">
        <v>0</v>
      </c>
      <c r="P116" s="9">
        <v>-3.63</v>
      </c>
      <c r="Q116" s="10">
        <f>Table1[[#This Row],[Profit]]/Table1[[#This Row],[Sales]]</f>
        <v>-6.5737051792828682E-2</v>
      </c>
      <c r="R116" t="str">
        <f>IF(Table1[[#This Row],[Profit Margin]]&gt;0,"profit","loss")</f>
        <v>loss</v>
      </c>
      <c r="S116" t="str">
        <f>IF(Table1[[#This Row],[Discount]]=0,"No Discount",IF(Table1[[#This Row],[Discount]]&lt;=0.2,"low",IF(Table1[[#This Row],[Discount]]&lt;=0.3,"medium","high")))</f>
        <v>No Discount</v>
      </c>
      <c r="T116" s="15" t="str">
        <f>IF(Table1[[#This Row],[Days]]&lt;=2,"faster",IF(Table1[[#This Row],[Days]]&lt;=4,"Normal","slow"))</f>
        <v>Normal</v>
      </c>
    </row>
    <row r="117" spans="1:20" x14ac:dyDescent="0.25">
      <c r="A117" s="4" t="s">
        <v>150</v>
      </c>
      <c r="B117" s="1">
        <v>45007</v>
      </c>
      <c r="C117" s="1">
        <v>45008</v>
      </c>
      <c r="D117" s="13">
        <f>Table1[[#This Row],[Shipped date]]-Table1[[#This Row],[Order Date]]</f>
        <v>1</v>
      </c>
      <c r="E117" t="s">
        <v>25</v>
      </c>
      <c r="F117" s="13" t="str">
        <f>TEXT(Table1[[#This Row],[Order Date]],"MMMM")</f>
        <v>March</v>
      </c>
      <c r="G117" s="13">
        <f t="shared" si="2"/>
        <v>2023</v>
      </c>
      <c r="H117" s="13" t="str">
        <f t="shared" si="3"/>
        <v>Q1</v>
      </c>
      <c r="I117" s="1" t="s">
        <v>37</v>
      </c>
      <c r="J117" s="7" t="s">
        <v>32</v>
      </c>
      <c r="K117" s="7" t="s">
        <v>16</v>
      </c>
      <c r="L117" t="s">
        <v>38</v>
      </c>
      <c r="M117" s="9">
        <v>982.2</v>
      </c>
      <c r="N117" s="4">
        <v>4</v>
      </c>
      <c r="O117" s="12">
        <v>0.1</v>
      </c>
      <c r="P117" s="9">
        <v>21.36</v>
      </c>
      <c r="Q117" s="10">
        <f>Table1[[#This Row],[Profit]]/Table1[[#This Row],[Sales]]</f>
        <v>2.1747098350641415E-2</v>
      </c>
      <c r="R117" t="str">
        <f>IF(Table1[[#This Row],[Profit Margin]]&gt;0,"profit","loss")</f>
        <v>profit</v>
      </c>
      <c r="S117" t="str">
        <f>IF(Table1[[#This Row],[Discount]]=0,"No Discount",IF(Table1[[#This Row],[Discount]]&lt;=0.2,"low",IF(Table1[[#This Row],[Discount]]&lt;=0.3,"medium","high")))</f>
        <v>low</v>
      </c>
      <c r="T117" s="15" t="str">
        <f>IF(Table1[[#This Row],[Days]]&lt;=2,"faster",IF(Table1[[#This Row],[Days]]&lt;=4,"Normal","slow"))</f>
        <v>faster</v>
      </c>
    </row>
    <row r="118" spans="1:20" x14ac:dyDescent="0.25">
      <c r="A118" s="4" t="s">
        <v>151</v>
      </c>
      <c r="B118" s="1">
        <v>45114</v>
      </c>
      <c r="C118" s="1">
        <v>45117</v>
      </c>
      <c r="D118" s="13">
        <f>Table1[[#This Row],[Shipped date]]-Table1[[#This Row],[Order Date]]</f>
        <v>3</v>
      </c>
      <c r="E118" t="s">
        <v>25</v>
      </c>
      <c r="F118" s="13" t="str">
        <f>TEXT(Table1[[#This Row],[Order Date]],"MMMM")</f>
        <v>July</v>
      </c>
      <c r="G118" s="13">
        <f t="shared" si="2"/>
        <v>2023</v>
      </c>
      <c r="H118" s="13" t="str">
        <f t="shared" si="3"/>
        <v>Q3</v>
      </c>
      <c r="I118" s="1" t="s">
        <v>14</v>
      </c>
      <c r="J118" s="7" t="s">
        <v>26</v>
      </c>
      <c r="K118" s="7" t="s">
        <v>16</v>
      </c>
      <c r="L118" t="s">
        <v>17</v>
      </c>
      <c r="M118" s="9">
        <v>49.89</v>
      </c>
      <c r="N118" s="4">
        <v>8</v>
      </c>
      <c r="O118" s="12">
        <v>0.3</v>
      </c>
      <c r="P118" s="9">
        <v>-27.26</v>
      </c>
      <c r="Q118" s="10">
        <f>Table1[[#This Row],[Profit]]/Table1[[#This Row],[Sales]]</f>
        <v>-0.54640208458608941</v>
      </c>
      <c r="R118" t="str">
        <f>IF(Table1[[#This Row],[Profit Margin]]&gt;0,"profit","loss")</f>
        <v>loss</v>
      </c>
      <c r="S118" t="str">
        <f>IF(Table1[[#This Row],[Discount]]=0,"No Discount",IF(Table1[[#This Row],[Discount]]&lt;=0.2,"low",IF(Table1[[#This Row],[Discount]]&lt;=0.3,"medium","high")))</f>
        <v>medium</v>
      </c>
      <c r="T118" s="15" t="str">
        <f>IF(Table1[[#This Row],[Days]]&lt;=2,"faster",IF(Table1[[#This Row],[Days]]&lt;=4,"Normal","slow"))</f>
        <v>Normal</v>
      </c>
    </row>
    <row r="119" spans="1:20" x14ac:dyDescent="0.25">
      <c r="A119" s="4" t="s">
        <v>152</v>
      </c>
      <c r="B119" s="1">
        <v>45198</v>
      </c>
      <c r="C119" s="1">
        <v>45201</v>
      </c>
      <c r="D119" s="13">
        <f>Table1[[#This Row],[Shipped date]]-Table1[[#This Row],[Order Date]]</f>
        <v>3</v>
      </c>
      <c r="E119" t="s">
        <v>13</v>
      </c>
      <c r="F119" s="13" t="str">
        <f>TEXT(Table1[[#This Row],[Order Date]],"MMMM")</f>
        <v>September</v>
      </c>
      <c r="G119" s="13">
        <f t="shared" si="2"/>
        <v>2023</v>
      </c>
      <c r="H119" s="13" t="str">
        <f t="shared" si="3"/>
        <v>Q3</v>
      </c>
      <c r="I119" s="1" t="s">
        <v>20</v>
      </c>
      <c r="J119" s="7" t="s">
        <v>15</v>
      </c>
      <c r="K119" s="7" t="s">
        <v>29</v>
      </c>
      <c r="L119" t="s">
        <v>43</v>
      </c>
      <c r="M119" s="9">
        <v>317.2</v>
      </c>
      <c r="N119" s="4">
        <v>7</v>
      </c>
      <c r="O119" s="12">
        <v>0.2</v>
      </c>
      <c r="P119" s="9">
        <v>-42.83</v>
      </c>
      <c r="Q119" s="10">
        <f>Table1[[#This Row],[Profit]]/Table1[[#This Row],[Sales]]</f>
        <v>-0.13502522068095837</v>
      </c>
      <c r="R119" t="str">
        <f>IF(Table1[[#This Row],[Profit Margin]]&gt;0,"profit","loss")</f>
        <v>loss</v>
      </c>
      <c r="S119" t="str">
        <f>IF(Table1[[#This Row],[Discount]]=0,"No Discount",IF(Table1[[#This Row],[Discount]]&lt;=0.2,"low",IF(Table1[[#This Row],[Discount]]&lt;=0.3,"medium","high")))</f>
        <v>low</v>
      </c>
      <c r="T119" s="15" t="str">
        <f>IF(Table1[[#This Row],[Days]]&lt;=2,"faster",IF(Table1[[#This Row],[Days]]&lt;=4,"Normal","slow"))</f>
        <v>Normal</v>
      </c>
    </row>
    <row r="120" spans="1:20" x14ac:dyDescent="0.25">
      <c r="A120" s="4" t="s">
        <v>153</v>
      </c>
      <c r="B120" s="1">
        <v>45278</v>
      </c>
      <c r="C120" s="1">
        <v>45284</v>
      </c>
      <c r="D120" s="13">
        <f>Table1[[#This Row],[Shipped date]]-Table1[[#This Row],[Order Date]]</f>
        <v>6</v>
      </c>
      <c r="E120" t="s">
        <v>28</v>
      </c>
      <c r="F120" s="13" t="str">
        <f>TEXT(Table1[[#This Row],[Order Date]],"MMMM")</f>
        <v>December</v>
      </c>
      <c r="G120" s="13">
        <f t="shared" si="2"/>
        <v>2023</v>
      </c>
      <c r="H120" s="13" t="str">
        <f t="shared" si="3"/>
        <v>Q4</v>
      </c>
      <c r="I120" s="1" t="s">
        <v>20</v>
      </c>
      <c r="J120" s="7" t="s">
        <v>32</v>
      </c>
      <c r="K120" s="7" t="s">
        <v>22</v>
      </c>
      <c r="L120" t="s">
        <v>23</v>
      </c>
      <c r="M120" s="9">
        <v>531.79999999999995</v>
      </c>
      <c r="N120" s="4">
        <v>4</v>
      </c>
      <c r="O120" s="12">
        <v>0</v>
      </c>
      <c r="P120" s="9">
        <v>52.19</v>
      </c>
      <c r="Q120" s="10">
        <f>Table1[[#This Row],[Profit]]/Table1[[#This Row],[Sales]]</f>
        <v>9.8138397893945101E-2</v>
      </c>
      <c r="R120" t="str">
        <f>IF(Table1[[#This Row],[Profit Margin]]&gt;0,"profit","loss")</f>
        <v>profit</v>
      </c>
      <c r="S120" t="str">
        <f>IF(Table1[[#This Row],[Discount]]=0,"No Discount",IF(Table1[[#This Row],[Discount]]&lt;=0.2,"low",IF(Table1[[#This Row],[Discount]]&lt;=0.3,"medium","high")))</f>
        <v>No Discount</v>
      </c>
      <c r="T120" s="15" t="str">
        <f>IF(Table1[[#This Row],[Days]]&lt;=2,"faster",IF(Table1[[#This Row],[Days]]&lt;=4,"Normal","slow"))</f>
        <v>slow</v>
      </c>
    </row>
    <row r="121" spans="1:20" x14ac:dyDescent="0.25">
      <c r="A121" s="4" t="s">
        <v>154</v>
      </c>
      <c r="B121" s="1">
        <v>45139</v>
      </c>
      <c r="C121" s="1">
        <v>45144</v>
      </c>
      <c r="D121" s="13">
        <f>Table1[[#This Row],[Shipped date]]-Table1[[#This Row],[Order Date]]</f>
        <v>5</v>
      </c>
      <c r="E121" t="s">
        <v>13</v>
      </c>
      <c r="F121" s="13" t="str">
        <f>TEXT(Table1[[#This Row],[Order Date]],"MMMM")</f>
        <v>August</v>
      </c>
      <c r="G121" s="13">
        <f t="shared" si="2"/>
        <v>2023</v>
      </c>
      <c r="H121" s="13" t="str">
        <f t="shared" si="3"/>
        <v>Q3</v>
      </c>
      <c r="I121" s="1" t="s">
        <v>14</v>
      </c>
      <c r="J121" s="7" t="s">
        <v>32</v>
      </c>
      <c r="K121" s="7" t="s">
        <v>22</v>
      </c>
      <c r="L121" t="s">
        <v>35</v>
      </c>
      <c r="M121" s="9">
        <v>965.95</v>
      </c>
      <c r="N121" s="4">
        <v>1</v>
      </c>
      <c r="O121" s="12">
        <v>0.2</v>
      </c>
      <c r="P121" s="9">
        <v>-110.62</v>
      </c>
      <c r="Q121" s="10">
        <f>Table1[[#This Row],[Profit]]/Table1[[#This Row],[Sales]]</f>
        <v>-0.11451938506133857</v>
      </c>
      <c r="R121" t="str">
        <f>IF(Table1[[#This Row],[Profit Margin]]&gt;0,"profit","loss")</f>
        <v>loss</v>
      </c>
      <c r="S121" t="str">
        <f>IF(Table1[[#This Row],[Discount]]=0,"No Discount",IF(Table1[[#This Row],[Discount]]&lt;=0.2,"low",IF(Table1[[#This Row],[Discount]]&lt;=0.3,"medium","high")))</f>
        <v>low</v>
      </c>
      <c r="T121" s="15" t="str">
        <f>IF(Table1[[#This Row],[Days]]&lt;=2,"faster",IF(Table1[[#This Row],[Days]]&lt;=4,"Normal","slow"))</f>
        <v>slow</v>
      </c>
    </row>
    <row r="122" spans="1:20" x14ac:dyDescent="0.25">
      <c r="A122" s="4" t="s">
        <v>155</v>
      </c>
      <c r="B122" s="1">
        <v>45158</v>
      </c>
      <c r="C122" s="1">
        <v>45162</v>
      </c>
      <c r="D122" s="13">
        <f>Table1[[#This Row],[Shipped date]]-Table1[[#This Row],[Order Date]]</f>
        <v>4</v>
      </c>
      <c r="E122" t="s">
        <v>25</v>
      </c>
      <c r="F122" s="13" t="str">
        <f>TEXT(Table1[[#This Row],[Order Date]],"MMMM")</f>
        <v>August</v>
      </c>
      <c r="G122" s="13">
        <f t="shared" si="2"/>
        <v>2023</v>
      </c>
      <c r="H122" s="13" t="str">
        <f t="shared" si="3"/>
        <v>Q3</v>
      </c>
      <c r="I122" s="1" t="s">
        <v>20</v>
      </c>
      <c r="J122" s="7" t="s">
        <v>32</v>
      </c>
      <c r="K122" s="7" t="s">
        <v>22</v>
      </c>
      <c r="L122" t="s">
        <v>23</v>
      </c>
      <c r="M122" s="9">
        <v>70.650000000000006</v>
      </c>
      <c r="N122" s="4">
        <v>4</v>
      </c>
      <c r="O122" s="12">
        <v>0.3</v>
      </c>
      <c r="P122" s="9">
        <v>-5.34</v>
      </c>
      <c r="Q122" s="10">
        <f>Table1[[#This Row],[Profit]]/Table1[[#This Row],[Sales]]</f>
        <v>-7.5583864118895963E-2</v>
      </c>
      <c r="R122" t="str">
        <f>IF(Table1[[#This Row],[Profit Margin]]&gt;0,"profit","loss")</f>
        <v>loss</v>
      </c>
      <c r="S122" t="str">
        <f>IF(Table1[[#This Row],[Discount]]=0,"No Discount",IF(Table1[[#This Row],[Discount]]&lt;=0.2,"low",IF(Table1[[#This Row],[Discount]]&lt;=0.3,"medium","high")))</f>
        <v>medium</v>
      </c>
      <c r="T122" s="15" t="str">
        <f>IF(Table1[[#This Row],[Days]]&lt;=2,"faster",IF(Table1[[#This Row],[Days]]&lt;=4,"Normal","slow"))</f>
        <v>Normal</v>
      </c>
    </row>
    <row r="123" spans="1:20" x14ac:dyDescent="0.25">
      <c r="A123" s="4" t="s">
        <v>156</v>
      </c>
      <c r="B123" s="1">
        <v>45079</v>
      </c>
      <c r="C123" s="1">
        <v>45081</v>
      </c>
      <c r="D123" s="13">
        <f>Table1[[#This Row],[Shipped date]]-Table1[[#This Row],[Order Date]]</f>
        <v>2</v>
      </c>
      <c r="E123" t="s">
        <v>28</v>
      </c>
      <c r="F123" s="13" t="str">
        <f>TEXT(Table1[[#This Row],[Order Date]],"MMMM")</f>
        <v>June</v>
      </c>
      <c r="G123" s="13">
        <f t="shared" si="2"/>
        <v>2023</v>
      </c>
      <c r="H123" s="13" t="str">
        <f t="shared" si="3"/>
        <v>Q2</v>
      </c>
      <c r="I123" s="1" t="s">
        <v>20</v>
      </c>
      <c r="J123" s="7" t="s">
        <v>26</v>
      </c>
      <c r="K123" s="7" t="s">
        <v>22</v>
      </c>
      <c r="L123" t="s">
        <v>23</v>
      </c>
      <c r="M123" s="9">
        <v>705.52</v>
      </c>
      <c r="N123" s="4">
        <v>5</v>
      </c>
      <c r="O123" s="12">
        <v>0.3</v>
      </c>
      <c r="P123" s="9">
        <v>-110.28</v>
      </c>
      <c r="Q123" s="10">
        <f>Table1[[#This Row],[Profit]]/Table1[[#This Row],[Sales]]</f>
        <v>-0.15631023925615151</v>
      </c>
      <c r="R123" t="str">
        <f>IF(Table1[[#This Row],[Profit Margin]]&gt;0,"profit","loss")</f>
        <v>loss</v>
      </c>
      <c r="S123" t="str">
        <f>IF(Table1[[#This Row],[Discount]]=0,"No Discount",IF(Table1[[#This Row],[Discount]]&lt;=0.2,"low",IF(Table1[[#This Row],[Discount]]&lt;=0.3,"medium","high")))</f>
        <v>medium</v>
      </c>
      <c r="T123" s="15" t="str">
        <f>IF(Table1[[#This Row],[Days]]&lt;=2,"faster",IF(Table1[[#This Row],[Days]]&lt;=4,"Normal","slow"))</f>
        <v>faster</v>
      </c>
    </row>
    <row r="124" spans="1:20" x14ac:dyDescent="0.25">
      <c r="A124" s="4" t="s">
        <v>157</v>
      </c>
      <c r="B124" s="1">
        <v>45289</v>
      </c>
      <c r="C124" s="1">
        <v>45292</v>
      </c>
      <c r="D124" s="13">
        <f>Table1[[#This Row],[Shipped date]]-Table1[[#This Row],[Order Date]]</f>
        <v>3</v>
      </c>
      <c r="E124" t="s">
        <v>25</v>
      </c>
      <c r="F124" s="13" t="str">
        <f>TEXT(Table1[[#This Row],[Order Date]],"MMMM")</f>
        <v>December</v>
      </c>
      <c r="G124" s="13">
        <f t="shared" si="2"/>
        <v>2023</v>
      </c>
      <c r="H124" s="13" t="str">
        <f t="shared" si="3"/>
        <v>Q4</v>
      </c>
      <c r="I124" s="1" t="s">
        <v>14</v>
      </c>
      <c r="J124" s="7" t="s">
        <v>32</v>
      </c>
      <c r="K124" s="7" t="s">
        <v>16</v>
      </c>
      <c r="L124" t="s">
        <v>17</v>
      </c>
      <c r="M124" s="9">
        <v>976.34</v>
      </c>
      <c r="N124" s="4">
        <v>5</v>
      </c>
      <c r="O124" s="12">
        <v>0.3</v>
      </c>
      <c r="P124" s="9">
        <v>-165.25</v>
      </c>
      <c r="Q124" s="10">
        <f>Table1[[#This Row],[Profit]]/Table1[[#This Row],[Sales]]</f>
        <v>-0.16925456295962471</v>
      </c>
      <c r="R124" t="str">
        <f>IF(Table1[[#This Row],[Profit Margin]]&gt;0,"profit","loss")</f>
        <v>loss</v>
      </c>
      <c r="S124" t="str">
        <f>IF(Table1[[#This Row],[Discount]]=0,"No Discount",IF(Table1[[#This Row],[Discount]]&lt;=0.2,"low",IF(Table1[[#This Row],[Discount]]&lt;=0.3,"medium","high")))</f>
        <v>medium</v>
      </c>
      <c r="T124" s="15" t="str">
        <f>IF(Table1[[#This Row],[Days]]&lt;=2,"faster",IF(Table1[[#This Row],[Days]]&lt;=4,"Normal","slow"))</f>
        <v>Normal</v>
      </c>
    </row>
    <row r="125" spans="1:20" x14ac:dyDescent="0.25">
      <c r="A125" s="4" t="s">
        <v>158</v>
      </c>
      <c r="B125" s="1">
        <v>45033</v>
      </c>
      <c r="C125" s="1">
        <v>45035</v>
      </c>
      <c r="D125" s="13">
        <f>Table1[[#This Row],[Shipped date]]-Table1[[#This Row],[Order Date]]</f>
        <v>2</v>
      </c>
      <c r="E125" t="s">
        <v>13</v>
      </c>
      <c r="F125" s="13" t="str">
        <f>TEXT(Table1[[#This Row],[Order Date]],"MMMM")</f>
        <v>April</v>
      </c>
      <c r="G125" s="13">
        <f t="shared" si="2"/>
        <v>2023</v>
      </c>
      <c r="H125" s="13" t="str">
        <f t="shared" si="3"/>
        <v>Q2</v>
      </c>
      <c r="I125" s="1" t="s">
        <v>20</v>
      </c>
      <c r="J125" s="7" t="s">
        <v>21</v>
      </c>
      <c r="K125" s="7" t="s">
        <v>29</v>
      </c>
      <c r="L125" t="s">
        <v>30</v>
      </c>
      <c r="M125" s="9">
        <v>60.25</v>
      </c>
      <c r="N125" s="4">
        <v>1</v>
      </c>
      <c r="O125" s="12">
        <v>0.3</v>
      </c>
      <c r="P125" s="9">
        <v>-13.09</v>
      </c>
      <c r="Q125" s="10">
        <f>Table1[[#This Row],[Profit]]/Table1[[#This Row],[Sales]]</f>
        <v>-0.21726141078838174</v>
      </c>
      <c r="R125" t="str">
        <f>IF(Table1[[#This Row],[Profit Margin]]&gt;0,"profit","loss")</f>
        <v>loss</v>
      </c>
      <c r="S125" t="str">
        <f>IF(Table1[[#This Row],[Discount]]=0,"No Discount",IF(Table1[[#This Row],[Discount]]&lt;=0.2,"low",IF(Table1[[#This Row],[Discount]]&lt;=0.3,"medium","high")))</f>
        <v>medium</v>
      </c>
      <c r="T125" s="15" t="str">
        <f>IF(Table1[[#This Row],[Days]]&lt;=2,"faster",IF(Table1[[#This Row],[Days]]&lt;=4,"Normal","slow"))</f>
        <v>faster</v>
      </c>
    </row>
    <row r="126" spans="1:20" x14ac:dyDescent="0.25">
      <c r="A126" s="4" t="s">
        <v>159</v>
      </c>
      <c r="B126" s="1">
        <v>45101</v>
      </c>
      <c r="C126" s="1">
        <v>45103</v>
      </c>
      <c r="D126" s="13">
        <f>Table1[[#This Row],[Shipped date]]-Table1[[#This Row],[Order Date]]</f>
        <v>2</v>
      </c>
      <c r="E126" t="s">
        <v>13</v>
      </c>
      <c r="F126" s="13" t="str">
        <f>TEXT(Table1[[#This Row],[Order Date]],"MMMM")</f>
        <v>June</v>
      </c>
      <c r="G126" s="13">
        <f t="shared" si="2"/>
        <v>2023</v>
      </c>
      <c r="H126" s="13" t="str">
        <f t="shared" si="3"/>
        <v>Q2</v>
      </c>
      <c r="I126" s="1" t="s">
        <v>14</v>
      </c>
      <c r="J126" s="7" t="s">
        <v>15</v>
      </c>
      <c r="K126" s="7" t="s">
        <v>22</v>
      </c>
      <c r="L126" t="s">
        <v>35</v>
      </c>
      <c r="M126" s="9">
        <v>450.19</v>
      </c>
      <c r="N126" s="4">
        <v>6</v>
      </c>
      <c r="O126" s="12">
        <v>0.2</v>
      </c>
      <c r="P126" s="9">
        <v>-47.46</v>
      </c>
      <c r="Q126" s="10">
        <f>Table1[[#This Row],[Profit]]/Table1[[#This Row],[Sales]]</f>
        <v>-0.10542215509007308</v>
      </c>
      <c r="R126" t="str">
        <f>IF(Table1[[#This Row],[Profit Margin]]&gt;0,"profit","loss")</f>
        <v>loss</v>
      </c>
      <c r="S126" t="str">
        <f>IF(Table1[[#This Row],[Discount]]=0,"No Discount",IF(Table1[[#This Row],[Discount]]&lt;=0.2,"low",IF(Table1[[#This Row],[Discount]]&lt;=0.3,"medium","high")))</f>
        <v>low</v>
      </c>
      <c r="T126" s="15" t="str">
        <f>IF(Table1[[#This Row],[Days]]&lt;=2,"faster",IF(Table1[[#This Row],[Days]]&lt;=4,"Normal","slow"))</f>
        <v>faster</v>
      </c>
    </row>
    <row r="127" spans="1:20" x14ac:dyDescent="0.25">
      <c r="A127" s="4" t="s">
        <v>160</v>
      </c>
      <c r="B127" s="1">
        <v>45259</v>
      </c>
      <c r="C127" s="1">
        <v>45261</v>
      </c>
      <c r="D127" s="13">
        <f>Table1[[#This Row],[Shipped date]]-Table1[[#This Row],[Order Date]]</f>
        <v>2</v>
      </c>
      <c r="E127" t="s">
        <v>13</v>
      </c>
      <c r="F127" s="13" t="str">
        <f>TEXT(Table1[[#This Row],[Order Date]],"MMMM")</f>
        <v>November</v>
      </c>
      <c r="G127" s="13">
        <f t="shared" si="2"/>
        <v>2023</v>
      </c>
      <c r="H127" s="13" t="str">
        <f t="shared" si="3"/>
        <v>Q4</v>
      </c>
      <c r="I127" s="1" t="s">
        <v>20</v>
      </c>
      <c r="J127" s="7" t="s">
        <v>21</v>
      </c>
      <c r="K127" s="7" t="s">
        <v>16</v>
      </c>
      <c r="L127" t="s">
        <v>38</v>
      </c>
      <c r="M127" s="9">
        <v>200.65</v>
      </c>
      <c r="N127" s="4">
        <v>10</v>
      </c>
      <c r="O127" s="12">
        <v>0.1</v>
      </c>
      <c r="P127" s="9">
        <v>38.520000000000003</v>
      </c>
      <c r="Q127" s="10">
        <f>Table1[[#This Row],[Profit]]/Table1[[#This Row],[Sales]]</f>
        <v>0.19197607774732123</v>
      </c>
      <c r="R127" t="str">
        <f>IF(Table1[[#This Row],[Profit Margin]]&gt;0,"profit","loss")</f>
        <v>profit</v>
      </c>
      <c r="S127" t="str">
        <f>IF(Table1[[#This Row],[Discount]]=0,"No Discount",IF(Table1[[#This Row],[Discount]]&lt;=0.2,"low",IF(Table1[[#This Row],[Discount]]&lt;=0.3,"medium","high")))</f>
        <v>low</v>
      </c>
      <c r="T127" s="15" t="str">
        <f>IF(Table1[[#This Row],[Days]]&lt;=2,"faster",IF(Table1[[#This Row],[Days]]&lt;=4,"Normal","slow"))</f>
        <v>faster</v>
      </c>
    </row>
    <row r="128" spans="1:20" x14ac:dyDescent="0.25">
      <c r="A128" s="4" t="s">
        <v>161</v>
      </c>
      <c r="B128" s="1">
        <v>45094</v>
      </c>
      <c r="C128" s="1">
        <v>45097</v>
      </c>
      <c r="D128" s="13">
        <f>Table1[[#This Row],[Shipped date]]-Table1[[#This Row],[Order Date]]</f>
        <v>3</v>
      </c>
      <c r="E128" t="s">
        <v>13</v>
      </c>
      <c r="F128" s="13" t="str">
        <f>TEXT(Table1[[#This Row],[Order Date]],"MMMM")</f>
        <v>June</v>
      </c>
      <c r="G128" s="13">
        <f t="shared" si="2"/>
        <v>2023</v>
      </c>
      <c r="H128" s="13" t="str">
        <f t="shared" si="3"/>
        <v>Q2</v>
      </c>
      <c r="I128" s="1" t="s">
        <v>20</v>
      </c>
      <c r="J128" s="7" t="s">
        <v>15</v>
      </c>
      <c r="K128" s="7" t="s">
        <v>16</v>
      </c>
      <c r="L128" t="s">
        <v>33</v>
      </c>
      <c r="M128" s="9">
        <v>702.05</v>
      </c>
      <c r="N128" s="4">
        <v>9</v>
      </c>
      <c r="O128" s="12">
        <v>0</v>
      </c>
      <c r="P128" s="9">
        <v>54.28</v>
      </c>
      <c r="Q128" s="10">
        <f>Table1[[#This Row],[Profit]]/Table1[[#This Row],[Sales]]</f>
        <v>7.7316430453671398E-2</v>
      </c>
      <c r="R128" t="str">
        <f>IF(Table1[[#This Row],[Profit Margin]]&gt;0,"profit","loss")</f>
        <v>profit</v>
      </c>
      <c r="S128" t="str">
        <f>IF(Table1[[#This Row],[Discount]]=0,"No Discount",IF(Table1[[#This Row],[Discount]]&lt;=0.2,"low",IF(Table1[[#This Row],[Discount]]&lt;=0.3,"medium","high")))</f>
        <v>No Discount</v>
      </c>
      <c r="T128" s="15" t="str">
        <f>IF(Table1[[#This Row],[Days]]&lt;=2,"faster",IF(Table1[[#This Row],[Days]]&lt;=4,"Normal","slow"))</f>
        <v>Normal</v>
      </c>
    </row>
    <row r="129" spans="1:20" x14ac:dyDescent="0.25">
      <c r="A129" s="4" t="s">
        <v>162</v>
      </c>
      <c r="B129" s="1">
        <v>45189</v>
      </c>
      <c r="C129" s="1">
        <v>45190</v>
      </c>
      <c r="D129" s="13">
        <f>Table1[[#This Row],[Shipped date]]-Table1[[#This Row],[Order Date]]</f>
        <v>1</v>
      </c>
      <c r="E129" t="s">
        <v>28</v>
      </c>
      <c r="F129" s="13" t="str">
        <f>TEXT(Table1[[#This Row],[Order Date]],"MMMM")</f>
        <v>September</v>
      </c>
      <c r="G129" s="13">
        <f t="shared" si="2"/>
        <v>2023</v>
      </c>
      <c r="H129" s="13" t="str">
        <f t="shared" si="3"/>
        <v>Q3</v>
      </c>
      <c r="I129" s="1" t="s">
        <v>37</v>
      </c>
      <c r="J129" s="7" t="s">
        <v>15</v>
      </c>
      <c r="K129" s="7" t="s">
        <v>16</v>
      </c>
      <c r="L129" t="s">
        <v>33</v>
      </c>
      <c r="M129" s="9">
        <v>916.91</v>
      </c>
      <c r="N129" s="4">
        <v>7</v>
      </c>
      <c r="O129" s="12">
        <v>0.2</v>
      </c>
      <c r="P129" s="9">
        <v>-94.17</v>
      </c>
      <c r="Q129" s="10">
        <f>Table1[[#This Row],[Profit]]/Table1[[#This Row],[Sales]]</f>
        <v>-0.10270364594125923</v>
      </c>
      <c r="R129" t="str">
        <f>IF(Table1[[#This Row],[Profit Margin]]&gt;0,"profit","loss")</f>
        <v>loss</v>
      </c>
      <c r="S129" t="str">
        <f>IF(Table1[[#This Row],[Discount]]=0,"No Discount",IF(Table1[[#This Row],[Discount]]&lt;=0.2,"low",IF(Table1[[#This Row],[Discount]]&lt;=0.3,"medium","high")))</f>
        <v>low</v>
      </c>
      <c r="T129" s="15" t="str">
        <f>IF(Table1[[#This Row],[Days]]&lt;=2,"faster",IF(Table1[[#This Row],[Days]]&lt;=4,"Normal","slow"))</f>
        <v>faster</v>
      </c>
    </row>
    <row r="130" spans="1:20" x14ac:dyDescent="0.25">
      <c r="A130" s="4" t="s">
        <v>163</v>
      </c>
      <c r="B130" s="1">
        <v>45171</v>
      </c>
      <c r="C130" s="1">
        <v>45173</v>
      </c>
      <c r="D130" s="13">
        <f>Table1[[#This Row],[Shipped date]]-Table1[[#This Row],[Order Date]]</f>
        <v>2</v>
      </c>
      <c r="E130" t="s">
        <v>28</v>
      </c>
      <c r="F130" s="13" t="str">
        <f>TEXT(Table1[[#This Row],[Order Date]],"MMMM")</f>
        <v>September</v>
      </c>
      <c r="G130" s="13">
        <f t="shared" si="2"/>
        <v>2023</v>
      </c>
      <c r="H130" s="13" t="str">
        <f t="shared" si="3"/>
        <v>Q3</v>
      </c>
      <c r="I130" s="1" t="s">
        <v>14</v>
      </c>
      <c r="J130" s="7" t="s">
        <v>15</v>
      </c>
      <c r="K130" s="7" t="s">
        <v>22</v>
      </c>
      <c r="L130" t="s">
        <v>35</v>
      </c>
      <c r="M130" s="9">
        <v>558.24</v>
      </c>
      <c r="N130" s="4">
        <v>8</v>
      </c>
      <c r="O130" s="12">
        <v>0.3</v>
      </c>
      <c r="P130" s="9">
        <v>-118.85</v>
      </c>
      <c r="Q130" s="10">
        <f>Table1[[#This Row],[Profit]]/Table1[[#This Row],[Sales]]</f>
        <v>-0.21290126110633417</v>
      </c>
      <c r="R130" t="str">
        <f>IF(Table1[[#This Row],[Profit Margin]]&gt;0,"profit","loss")</f>
        <v>loss</v>
      </c>
      <c r="S130" t="str">
        <f>IF(Table1[[#This Row],[Discount]]=0,"No Discount",IF(Table1[[#This Row],[Discount]]&lt;=0.2,"low",IF(Table1[[#This Row],[Discount]]&lt;=0.3,"medium","high")))</f>
        <v>medium</v>
      </c>
      <c r="T130" s="15" t="str">
        <f>IF(Table1[[#This Row],[Days]]&lt;=2,"faster",IF(Table1[[#This Row],[Days]]&lt;=4,"Normal","slow"))</f>
        <v>faster</v>
      </c>
    </row>
    <row r="131" spans="1:20" x14ac:dyDescent="0.25">
      <c r="A131" s="4" t="s">
        <v>164</v>
      </c>
      <c r="B131" s="1">
        <v>45199</v>
      </c>
      <c r="C131" s="1">
        <v>45202</v>
      </c>
      <c r="D131" s="13">
        <f>Table1[[#This Row],[Shipped date]]-Table1[[#This Row],[Order Date]]</f>
        <v>3</v>
      </c>
      <c r="E131" t="s">
        <v>13</v>
      </c>
      <c r="F131" s="13" t="str">
        <f>TEXT(Table1[[#This Row],[Order Date]],"MMMM")</f>
        <v>September</v>
      </c>
      <c r="G131" s="13">
        <f t="shared" ref="G131:G194" si="4">YEAR(B131)</f>
        <v>2023</v>
      </c>
      <c r="H131" s="13" t="str">
        <f t="shared" ref="H131:H194" si="5">"Q" &amp;ROUNDUP(MONTH(B131)/3,0)</f>
        <v>Q3</v>
      </c>
      <c r="I131" s="1" t="s">
        <v>37</v>
      </c>
      <c r="J131" s="7" t="s">
        <v>21</v>
      </c>
      <c r="K131" s="7" t="s">
        <v>16</v>
      </c>
      <c r="L131" t="s">
        <v>38</v>
      </c>
      <c r="M131" s="9">
        <v>935.92</v>
      </c>
      <c r="N131" s="4">
        <v>3</v>
      </c>
      <c r="O131" s="12">
        <v>0</v>
      </c>
      <c r="P131" s="9">
        <v>140.43</v>
      </c>
      <c r="Q131" s="10">
        <f>Table1[[#This Row],[Profit]]/Table1[[#This Row],[Sales]]</f>
        <v>0.15004487563039579</v>
      </c>
      <c r="R131" t="str">
        <f>IF(Table1[[#This Row],[Profit Margin]]&gt;0,"profit","loss")</f>
        <v>profit</v>
      </c>
      <c r="S131" t="str">
        <f>IF(Table1[[#This Row],[Discount]]=0,"No Discount",IF(Table1[[#This Row],[Discount]]&lt;=0.2,"low",IF(Table1[[#This Row],[Discount]]&lt;=0.3,"medium","high")))</f>
        <v>No Discount</v>
      </c>
      <c r="T131" s="15" t="str">
        <f>IF(Table1[[#This Row],[Days]]&lt;=2,"faster",IF(Table1[[#This Row],[Days]]&lt;=4,"Normal","slow"))</f>
        <v>Normal</v>
      </c>
    </row>
    <row r="132" spans="1:20" x14ac:dyDescent="0.25">
      <c r="A132" s="4" t="s">
        <v>165</v>
      </c>
      <c r="B132" s="1">
        <v>45069</v>
      </c>
      <c r="C132" s="1">
        <v>45075</v>
      </c>
      <c r="D132" s="13">
        <f>Table1[[#This Row],[Shipped date]]-Table1[[#This Row],[Order Date]]</f>
        <v>6</v>
      </c>
      <c r="E132" t="s">
        <v>19</v>
      </c>
      <c r="F132" s="13" t="str">
        <f>TEXT(Table1[[#This Row],[Order Date]],"MMMM")</f>
        <v>May</v>
      </c>
      <c r="G132" s="13">
        <f t="shared" si="4"/>
        <v>2023</v>
      </c>
      <c r="H132" s="13" t="str">
        <f t="shared" si="5"/>
        <v>Q2</v>
      </c>
      <c r="I132" s="1" t="s">
        <v>14</v>
      </c>
      <c r="J132" s="7" t="s">
        <v>32</v>
      </c>
      <c r="K132" s="7" t="s">
        <v>22</v>
      </c>
      <c r="L132" t="s">
        <v>23</v>
      </c>
      <c r="M132" s="9">
        <v>743.14</v>
      </c>
      <c r="N132" s="4">
        <v>1</v>
      </c>
      <c r="O132" s="12">
        <v>0.2</v>
      </c>
      <c r="P132" s="9">
        <v>-63.82</v>
      </c>
      <c r="Q132" s="10">
        <f>Table1[[#This Row],[Profit]]/Table1[[#This Row],[Sales]]</f>
        <v>-8.5878838442285443E-2</v>
      </c>
      <c r="R132" t="str">
        <f>IF(Table1[[#This Row],[Profit Margin]]&gt;0,"profit","loss")</f>
        <v>loss</v>
      </c>
      <c r="S132" t="str">
        <f>IF(Table1[[#This Row],[Discount]]=0,"No Discount",IF(Table1[[#This Row],[Discount]]&lt;=0.2,"low",IF(Table1[[#This Row],[Discount]]&lt;=0.3,"medium","high")))</f>
        <v>low</v>
      </c>
      <c r="T132" s="15" t="str">
        <f>IF(Table1[[#This Row],[Days]]&lt;=2,"faster",IF(Table1[[#This Row],[Days]]&lt;=4,"Normal","slow"))</f>
        <v>slow</v>
      </c>
    </row>
    <row r="133" spans="1:20" x14ac:dyDescent="0.25">
      <c r="A133" s="4" t="s">
        <v>166</v>
      </c>
      <c r="B133" s="1">
        <v>45077</v>
      </c>
      <c r="C133" s="1">
        <v>45080</v>
      </c>
      <c r="D133" s="13">
        <f>Table1[[#This Row],[Shipped date]]-Table1[[#This Row],[Order Date]]</f>
        <v>3</v>
      </c>
      <c r="E133" t="s">
        <v>13</v>
      </c>
      <c r="F133" s="13" t="str">
        <f>TEXT(Table1[[#This Row],[Order Date]],"MMMM")</f>
        <v>May</v>
      </c>
      <c r="G133" s="13">
        <f t="shared" si="4"/>
        <v>2023</v>
      </c>
      <c r="H133" s="13" t="str">
        <f t="shared" si="5"/>
        <v>Q2</v>
      </c>
      <c r="I133" s="1" t="s">
        <v>14</v>
      </c>
      <c r="J133" s="7" t="s">
        <v>15</v>
      </c>
      <c r="K133" s="7" t="s">
        <v>16</v>
      </c>
      <c r="L133" t="s">
        <v>38</v>
      </c>
      <c r="M133" s="9">
        <v>735.44</v>
      </c>
      <c r="N133" s="4">
        <v>5</v>
      </c>
      <c r="O133" s="12">
        <v>0.2</v>
      </c>
      <c r="P133" s="9">
        <v>-76.2</v>
      </c>
      <c r="Q133" s="10">
        <f>Table1[[#This Row],[Profit]]/Table1[[#This Row],[Sales]]</f>
        <v>-0.10361144348961165</v>
      </c>
      <c r="R133" t="str">
        <f>IF(Table1[[#This Row],[Profit Margin]]&gt;0,"profit","loss")</f>
        <v>loss</v>
      </c>
      <c r="S133" t="str">
        <f>IF(Table1[[#This Row],[Discount]]=0,"No Discount",IF(Table1[[#This Row],[Discount]]&lt;=0.2,"low",IF(Table1[[#This Row],[Discount]]&lt;=0.3,"medium","high")))</f>
        <v>low</v>
      </c>
      <c r="T133" s="15" t="str">
        <f>IF(Table1[[#This Row],[Days]]&lt;=2,"faster",IF(Table1[[#This Row],[Days]]&lt;=4,"Normal","slow"))</f>
        <v>Normal</v>
      </c>
    </row>
    <row r="134" spans="1:20" x14ac:dyDescent="0.25">
      <c r="A134" s="4" t="s">
        <v>167</v>
      </c>
      <c r="B134" s="1">
        <v>45099</v>
      </c>
      <c r="C134" s="1">
        <v>45101</v>
      </c>
      <c r="D134" s="13">
        <f>Table1[[#This Row],[Shipped date]]-Table1[[#This Row],[Order Date]]</f>
        <v>2</v>
      </c>
      <c r="E134" t="s">
        <v>13</v>
      </c>
      <c r="F134" s="13" t="str">
        <f>TEXT(Table1[[#This Row],[Order Date]],"MMMM")</f>
        <v>June</v>
      </c>
      <c r="G134" s="13">
        <f t="shared" si="4"/>
        <v>2023</v>
      </c>
      <c r="H134" s="13" t="str">
        <f t="shared" si="5"/>
        <v>Q2</v>
      </c>
      <c r="I134" s="1" t="s">
        <v>14</v>
      </c>
      <c r="J134" s="7" t="s">
        <v>21</v>
      </c>
      <c r="K134" s="7" t="s">
        <v>22</v>
      </c>
      <c r="L134" t="s">
        <v>40</v>
      </c>
      <c r="M134" s="9">
        <v>368.85</v>
      </c>
      <c r="N134" s="4">
        <v>6</v>
      </c>
      <c r="O134" s="12">
        <v>0</v>
      </c>
      <c r="P134" s="9">
        <v>25.3</v>
      </c>
      <c r="Q134" s="10">
        <f>Table1[[#This Row],[Profit]]/Table1[[#This Row],[Sales]]</f>
        <v>6.8591568388233701E-2</v>
      </c>
      <c r="R134" t="str">
        <f>IF(Table1[[#This Row],[Profit Margin]]&gt;0,"profit","loss")</f>
        <v>profit</v>
      </c>
      <c r="S134" t="str">
        <f>IF(Table1[[#This Row],[Discount]]=0,"No Discount",IF(Table1[[#This Row],[Discount]]&lt;=0.2,"low",IF(Table1[[#This Row],[Discount]]&lt;=0.3,"medium","high")))</f>
        <v>No Discount</v>
      </c>
      <c r="T134" s="15" t="str">
        <f>IF(Table1[[#This Row],[Days]]&lt;=2,"faster",IF(Table1[[#This Row],[Days]]&lt;=4,"Normal","slow"))</f>
        <v>faster</v>
      </c>
    </row>
    <row r="135" spans="1:20" x14ac:dyDescent="0.25">
      <c r="A135" s="4" t="s">
        <v>168</v>
      </c>
      <c r="B135" s="1">
        <v>45203</v>
      </c>
      <c r="C135" s="1">
        <v>45209</v>
      </c>
      <c r="D135" s="13">
        <f>Table1[[#This Row],[Shipped date]]-Table1[[#This Row],[Order Date]]</f>
        <v>6</v>
      </c>
      <c r="E135" t="s">
        <v>28</v>
      </c>
      <c r="F135" s="13" t="str">
        <f>TEXT(Table1[[#This Row],[Order Date]],"MMMM")</f>
        <v>October</v>
      </c>
      <c r="G135" s="13">
        <f t="shared" si="4"/>
        <v>2023</v>
      </c>
      <c r="H135" s="13" t="str">
        <f t="shared" si="5"/>
        <v>Q4</v>
      </c>
      <c r="I135" s="1" t="s">
        <v>20</v>
      </c>
      <c r="J135" s="7" t="s">
        <v>21</v>
      </c>
      <c r="K135" s="7" t="s">
        <v>22</v>
      </c>
      <c r="L135" t="s">
        <v>35</v>
      </c>
      <c r="M135" s="9">
        <v>355.04</v>
      </c>
      <c r="N135" s="4">
        <v>3</v>
      </c>
      <c r="O135" s="12">
        <v>0.3</v>
      </c>
      <c r="P135" s="9">
        <v>-87.79</v>
      </c>
      <c r="Q135" s="10">
        <f>Table1[[#This Row],[Profit]]/Table1[[#This Row],[Sales]]</f>
        <v>-0.24726791347453808</v>
      </c>
      <c r="R135" t="str">
        <f>IF(Table1[[#This Row],[Profit Margin]]&gt;0,"profit","loss")</f>
        <v>loss</v>
      </c>
      <c r="S135" t="str">
        <f>IF(Table1[[#This Row],[Discount]]=0,"No Discount",IF(Table1[[#This Row],[Discount]]&lt;=0.2,"low",IF(Table1[[#This Row],[Discount]]&lt;=0.3,"medium","high")))</f>
        <v>medium</v>
      </c>
      <c r="T135" s="15" t="str">
        <f>IF(Table1[[#This Row],[Days]]&lt;=2,"faster",IF(Table1[[#This Row],[Days]]&lt;=4,"Normal","slow"))</f>
        <v>slow</v>
      </c>
    </row>
    <row r="136" spans="1:20" x14ac:dyDescent="0.25">
      <c r="A136" s="4" t="s">
        <v>169</v>
      </c>
      <c r="B136" s="1">
        <v>45004</v>
      </c>
      <c r="C136" s="1">
        <v>45005</v>
      </c>
      <c r="D136" s="13">
        <f>Table1[[#This Row],[Shipped date]]-Table1[[#This Row],[Order Date]]</f>
        <v>1</v>
      </c>
      <c r="E136" t="s">
        <v>25</v>
      </c>
      <c r="F136" s="13" t="str">
        <f>TEXT(Table1[[#This Row],[Order Date]],"MMMM")</f>
        <v>March</v>
      </c>
      <c r="G136" s="13">
        <f t="shared" si="4"/>
        <v>2023</v>
      </c>
      <c r="H136" s="13" t="str">
        <f t="shared" si="5"/>
        <v>Q1</v>
      </c>
      <c r="I136" s="1" t="s">
        <v>20</v>
      </c>
      <c r="J136" s="7" t="s">
        <v>21</v>
      </c>
      <c r="K136" s="7" t="s">
        <v>29</v>
      </c>
      <c r="L136" t="s">
        <v>43</v>
      </c>
      <c r="M136" s="9">
        <v>59.91</v>
      </c>
      <c r="N136" s="4">
        <v>5</v>
      </c>
      <c r="O136" s="12">
        <v>0.1</v>
      </c>
      <c r="P136" s="9">
        <v>48.57</v>
      </c>
      <c r="Q136" s="10">
        <f>Table1[[#This Row],[Profit]]/Table1[[#This Row],[Sales]]</f>
        <v>0.81071607411116675</v>
      </c>
      <c r="R136" t="str">
        <f>IF(Table1[[#This Row],[Profit Margin]]&gt;0,"profit","loss")</f>
        <v>profit</v>
      </c>
      <c r="S136" t="str">
        <f>IF(Table1[[#This Row],[Discount]]=0,"No Discount",IF(Table1[[#This Row],[Discount]]&lt;=0.2,"low",IF(Table1[[#This Row],[Discount]]&lt;=0.3,"medium","high")))</f>
        <v>low</v>
      </c>
      <c r="T136" s="15" t="str">
        <f>IF(Table1[[#This Row],[Days]]&lt;=2,"faster",IF(Table1[[#This Row],[Days]]&lt;=4,"Normal","slow"))</f>
        <v>faster</v>
      </c>
    </row>
    <row r="137" spans="1:20" x14ac:dyDescent="0.25">
      <c r="A137" s="4" t="s">
        <v>170</v>
      </c>
      <c r="B137" s="1">
        <v>44989</v>
      </c>
      <c r="C137" s="1">
        <v>44992</v>
      </c>
      <c r="D137" s="13">
        <f>Table1[[#This Row],[Shipped date]]-Table1[[#This Row],[Order Date]]</f>
        <v>3</v>
      </c>
      <c r="E137" t="s">
        <v>25</v>
      </c>
      <c r="F137" s="13" t="str">
        <f>TEXT(Table1[[#This Row],[Order Date]],"MMMM")</f>
        <v>March</v>
      </c>
      <c r="G137" s="13">
        <f t="shared" si="4"/>
        <v>2023</v>
      </c>
      <c r="H137" s="13" t="str">
        <f t="shared" si="5"/>
        <v>Q1</v>
      </c>
      <c r="I137" s="1" t="s">
        <v>14</v>
      </c>
      <c r="J137" s="7" t="s">
        <v>15</v>
      </c>
      <c r="K137" s="7" t="s">
        <v>29</v>
      </c>
      <c r="L137" t="s">
        <v>45</v>
      </c>
      <c r="M137" s="9">
        <v>191.82</v>
      </c>
      <c r="N137" s="4">
        <v>10</v>
      </c>
      <c r="O137" s="12">
        <v>0.3</v>
      </c>
      <c r="P137" s="9">
        <v>-51.52</v>
      </c>
      <c r="Q137" s="10">
        <f>Table1[[#This Row],[Profit]]/Table1[[#This Row],[Sales]]</f>
        <v>-0.26858513189448446</v>
      </c>
      <c r="R137" t="str">
        <f>IF(Table1[[#This Row],[Profit Margin]]&gt;0,"profit","loss")</f>
        <v>loss</v>
      </c>
      <c r="S137" t="str">
        <f>IF(Table1[[#This Row],[Discount]]=0,"No Discount",IF(Table1[[#This Row],[Discount]]&lt;=0.2,"low",IF(Table1[[#This Row],[Discount]]&lt;=0.3,"medium","high")))</f>
        <v>medium</v>
      </c>
      <c r="T137" s="15" t="str">
        <f>IF(Table1[[#This Row],[Days]]&lt;=2,"faster",IF(Table1[[#This Row],[Days]]&lt;=4,"Normal","slow"))</f>
        <v>Normal</v>
      </c>
    </row>
    <row r="138" spans="1:20" x14ac:dyDescent="0.25">
      <c r="A138" s="4" t="s">
        <v>171</v>
      </c>
      <c r="B138" s="1">
        <v>45128</v>
      </c>
      <c r="C138" s="1">
        <v>45130</v>
      </c>
      <c r="D138" s="13">
        <f>Table1[[#This Row],[Shipped date]]-Table1[[#This Row],[Order Date]]</f>
        <v>2</v>
      </c>
      <c r="E138" t="s">
        <v>13</v>
      </c>
      <c r="F138" s="13" t="str">
        <f>TEXT(Table1[[#This Row],[Order Date]],"MMMM")</f>
        <v>July</v>
      </c>
      <c r="G138" s="13">
        <f t="shared" si="4"/>
        <v>2023</v>
      </c>
      <c r="H138" s="13" t="str">
        <f t="shared" si="5"/>
        <v>Q3</v>
      </c>
      <c r="I138" s="1" t="s">
        <v>37</v>
      </c>
      <c r="J138" s="7" t="s">
        <v>15</v>
      </c>
      <c r="K138" s="7" t="s">
        <v>29</v>
      </c>
      <c r="L138" t="s">
        <v>45</v>
      </c>
      <c r="M138" s="9">
        <v>501.78</v>
      </c>
      <c r="N138" s="4">
        <v>6</v>
      </c>
      <c r="O138" s="12">
        <v>0.2</v>
      </c>
      <c r="P138" s="9">
        <v>-45.94</v>
      </c>
      <c r="Q138" s="10">
        <f>Table1[[#This Row],[Profit]]/Table1[[#This Row],[Sales]]</f>
        <v>-9.155406751963012E-2</v>
      </c>
      <c r="R138" t="str">
        <f>IF(Table1[[#This Row],[Profit Margin]]&gt;0,"profit","loss")</f>
        <v>loss</v>
      </c>
      <c r="S138" t="str">
        <f>IF(Table1[[#This Row],[Discount]]=0,"No Discount",IF(Table1[[#This Row],[Discount]]&lt;=0.2,"low",IF(Table1[[#This Row],[Discount]]&lt;=0.3,"medium","high")))</f>
        <v>low</v>
      </c>
      <c r="T138" s="15" t="str">
        <f>IF(Table1[[#This Row],[Days]]&lt;=2,"faster",IF(Table1[[#This Row],[Days]]&lt;=4,"Normal","slow"))</f>
        <v>faster</v>
      </c>
    </row>
    <row r="139" spans="1:20" x14ac:dyDescent="0.25">
      <c r="A139" s="4" t="s">
        <v>172</v>
      </c>
      <c r="B139" s="1">
        <v>45268</v>
      </c>
      <c r="C139" s="1">
        <v>45274</v>
      </c>
      <c r="D139" s="13">
        <f>Table1[[#This Row],[Shipped date]]-Table1[[#This Row],[Order Date]]</f>
        <v>6</v>
      </c>
      <c r="E139" t="s">
        <v>13</v>
      </c>
      <c r="F139" s="13" t="str">
        <f>TEXT(Table1[[#This Row],[Order Date]],"MMMM")</f>
        <v>December</v>
      </c>
      <c r="G139" s="13">
        <f t="shared" si="4"/>
        <v>2023</v>
      </c>
      <c r="H139" s="13" t="str">
        <f t="shared" si="5"/>
        <v>Q4</v>
      </c>
      <c r="I139" s="1" t="s">
        <v>20</v>
      </c>
      <c r="J139" s="7" t="s">
        <v>15</v>
      </c>
      <c r="K139" s="7" t="s">
        <v>16</v>
      </c>
      <c r="L139" t="s">
        <v>38</v>
      </c>
      <c r="M139" s="9">
        <v>475.38</v>
      </c>
      <c r="N139" s="4">
        <v>6</v>
      </c>
      <c r="O139" s="12">
        <v>0</v>
      </c>
      <c r="P139" s="9">
        <v>55.43</v>
      </c>
      <c r="Q139" s="10">
        <f>Table1[[#This Row],[Profit]]/Table1[[#This Row],[Sales]]</f>
        <v>0.11660145567756321</v>
      </c>
      <c r="R139" t="str">
        <f>IF(Table1[[#This Row],[Profit Margin]]&gt;0,"profit","loss")</f>
        <v>profit</v>
      </c>
      <c r="S139" t="str">
        <f>IF(Table1[[#This Row],[Discount]]=0,"No Discount",IF(Table1[[#This Row],[Discount]]&lt;=0.2,"low",IF(Table1[[#This Row],[Discount]]&lt;=0.3,"medium","high")))</f>
        <v>No Discount</v>
      </c>
      <c r="T139" s="15" t="str">
        <f>IF(Table1[[#This Row],[Days]]&lt;=2,"faster",IF(Table1[[#This Row],[Days]]&lt;=4,"Normal","slow"))</f>
        <v>slow</v>
      </c>
    </row>
    <row r="140" spans="1:20" x14ac:dyDescent="0.25">
      <c r="A140" s="4" t="s">
        <v>173</v>
      </c>
      <c r="B140" s="1">
        <v>45192</v>
      </c>
      <c r="C140" s="1">
        <v>45196</v>
      </c>
      <c r="D140" s="13">
        <f>Table1[[#This Row],[Shipped date]]-Table1[[#This Row],[Order Date]]</f>
        <v>4</v>
      </c>
      <c r="E140" t="s">
        <v>19</v>
      </c>
      <c r="F140" s="13" t="str">
        <f>TEXT(Table1[[#This Row],[Order Date]],"MMMM")</f>
        <v>September</v>
      </c>
      <c r="G140" s="13">
        <f t="shared" si="4"/>
        <v>2023</v>
      </c>
      <c r="H140" s="13" t="str">
        <f t="shared" si="5"/>
        <v>Q3</v>
      </c>
      <c r="I140" s="1" t="s">
        <v>14</v>
      </c>
      <c r="J140" s="7" t="s">
        <v>32</v>
      </c>
      <c r="K140" s="7" t="s">
        <v>16</v>
      </c>
      <c r="L140" t="s">
        <v>33</v>
      </c>
      <c r="M140" s="9">
        <v>623.53</v>
      </c>
      <c r="N140" s="4">
        <v>3</v>
      </c>
      <c r="O140" s="12">
        <v>0</v>
      </c>
      <c r="P140" s="9">
        <v>104.42</v>
      </c>
      <c r="Q140" s="10">
        <f>Table1[[#This Row],[Profit]]/Table1[[#This Row],[Sales]]</f>
        <v>0.16746587974917007</v>
      </c>
      <c r="R140" t="str">
        <f>IF(Table1[[#This Row],[Profit Margin]]&gt;0,"profit","loss")</f>
        <v>profit</v>
      </c>
      <c r="S140" t="str">
        <f>IF(Table1[[#This Row],[Discount]]=0,"No Discount",IF(Table1[[#This Row],[Discount]]&lt;=0.2,"low",IF(Table1[[#This Row],[Discount]]&lt;=0.3,"medium","high")))</f>
        <v>No Discount</v>
      </c>
      <c r="T140" s="15" t="str">
        <f>IF(Table1[[#This Row],[Days]]&lt;=2,"faster",IF(Table1[[#This Row],[Days]]&lt;=4,"Normal","slow"))</f>
        <v>Normal</v>
      </c>
    </row>
    <row r="141" spans="1:20" x14ac:dyDescent="0.25">
      <c r="A141" s="4" t="s">
        <v>174</v>
      </c>
      <c r="B141" s="1">
        <v>45143</v>
      </c>
      <c r="C141" s="1">
        <v>45149</v>
      </c>
      <c r="D141" s="13">
        <f>Table1[[#This Row],[Shipped date]]-Table1[[#This Row],[Order Date]]</f>
        <v>6</v>
      </c>
      <c r="E141" t="s">
        <v>28</v>
      </c>
      <c r="F141" s="13" t="str">
        <f>TEXT(Table1[[#This Row],[Order Date]],"MMMM")</f>
        <v>August</v>
      </c>
      <c r="G141" s="13">
        <f t="shared" si="4"/>
        <v>2023</v>
      </c>
      <c r="H141" s="13" t="str">
        <f t="shared" si="5"/>
        <v>Q3</v>
      </c>
      <c r="I141" s="1" t="s">
        <v>20</v>
      </c>
      <c r="J141" s="7" t="s">
        <v>32</v>
      </c>
      <c r="K141" s="7" t="s">
        <v>22</v>
      </c>
      <c r="L141" t="s">
        <v>35</v>
      </c>
      <c r="M141" s="9">
        <v>275.68</v>
      </c>
      <c r="N141" s="4">
        <v>4</v>
      </c>
      <c r="O141" s="12">
        <v>0.1</v>
      </c>
      <c r="P141" s="9">
        <v>23.81</v>
      </c>
      <c r="Q141" s="10">
        <f>Table1[[#This Row],[Profit]]/Table1[[#This Row],[Sales]]</f>
        <v>8.6368253047011026E-2</v>
      </c>
      <c r="R141" t="str">
        <f>IF(Table1[[#This Row],[Profit Margin]]&gt;0,"profit","loss")</f>
        <v>profit</v>
      </c>
      <c r="S141" t="str">
        <f>IF(Table1[[#This Row],[Discount]]=0,"No Discount",IF(Table1[[#This Row],[Discount]]&lt;=0.2,"low",IF(Table1[[#This Row],[Discount]]&lt;=0.3,"medium","high")))</f>
        <v>low</v>
      </c>
      <c r="T141" s="15" t="str">
        <f>IF(Table1[[#This Row],[Days]]&lt;=2,"faster",IF(Table1[[#This Row],[Days]]&lt;=4,"Normal","slow"))</f>
        <v>slow</v>
      </c>
    </row>
    <row r="142" spans="1:20" x14ac:dyDescent="0.25">
      <c r="A142" s="4" t="s">
        <v>175</v>
      </c>
      <c r="B142" s="1">
        <v>45187</v>
      </c>
      <c r="C142" s="1">
        <v>45194</v>
      </c>
      <c r="D142" s="13">
        <f>Table1[[#This Row],[Shipped date]]-Table1[[#This Row],[Order Date]]</f>
        <v>7</v>
      </c>
      <c r="E142" t="s">
        <v>13</v>
      </c>
      <c r="F142" s="13" t="str">
        <f>TEXT(Table1[[#This Row],[Order Date]],"MMMM")</f>
        <v>September</v>
      </c>
      <c r="G142" s="13">
        <f t="shared" si="4"/>
        <v>2023</v>
      </c>
      <c r="H142" s="13" t="str">
        <f t="shared" si="5"/>
        <v>Q3</v>
      </c>
      <c r="I142" s="1" t="s">
        <v>14</v>
      </c>
      <c r="J142" s="7" t="s">
        <v>21</v>
      </c>
      <c r="K142" s="7" t="s">
        <v>22</v>
      </c>
      <c r="L142" t="s">
        <v>40</v>
      </c>
      <c r="M142" s="9">
        <v>513.07000000000005</v>
      </c>
      <c r="N142" s="4">
        <v>4</v>
      </c>
      <c r="O142" s="12">
        <v>0</v>
      </c>
      <c r="P142" s="9">
        <v>69.06</v>
      </c>
      <c r="Q142" s="10">
        <f>Table1[[#This Row],[Profit]]/Table1[[#This Row],[Sales]]</f>
        <v>0.13460151636228973</v>
      </c>
      <c r="R142" t="str">
        <f>IF(Table1[[#This Row],[Profit Margin]]&gt;0,"profit","loss")</f>
        <v>profit</v>
      </c>
      <c r="S142" t="str">
        <f>IF(Table1[[#This Row],[Discount]]=0,"No Discount",IF(Table1[[#This Row],[Discount]]&lt;=0.2,"low",IF(Table1[[#This Row],[Discount]]&lt;=0.3,"medium","high")))</f>
        <v>No Discount</v>
      </c>
      <c r="T142" s="15" t="str">
        <f>IF(Table1[[#This Row],[Days]]&lt;=2,"faster",IF(Table1[[#This Row],[Days]]&lt;=4,"Normal","slow"))</f>
        <v>slow</v>
      </c>
    </row>
    <row r="143" spans="1:20" x14ac:dyDescent="0.25">
      <c r="A143" s="4" t="s">
        <v>176</v>
      </c>
      <c r="B143" s="1">
        <v>45247</v>
      </c>
      <c r="C143" s="1">
        <v>45251</v>
      </c>
      <c r="D143" s="13">
        <f>Table1[[#This Row],[Shipped date]]-Table1[[#This Row],[Order Date]]</f>
        <v>4</v>
      </c>
      <c r="E143" t="s">
        <v>28</v>
      </c>
      <c r="F143" s="13" t="str">
        <f>TEXT(Table1[[#This Row],[Order Date]],"MMMM")</f>
        <v>November</v>
      </c>
      <c r="G143" s="13">
        <f t="shared" si="4"/>
        <v>2023</v>
      </c>
      <c r="H143" s="13" t="str">
        <f t="shared" si="5"/>
        <v>Q4</v>
      </c>
      <c r="I143" s="1" t="s">
        <v>14</v>
      </c>
      <c r="J143" s="7" t="s">
        <v>21</v>
      </c>
      <c r="K143" s="7" t="s">
        <v>22</v>
      </c>
      <c r="L143" t="s">
        <v>40</v>
      </c>
      <c r="M143" s="9">
        <v>690.28</v>
      </c>
      <c r="N143" s="4">
        <v>2</v>
      </c>
      <c r="O143" s="12">
        <v>0.3</v>
      </c>
      <c r="P143" s="9">
        <v>-153.12</v>
      </c>
      <c r="Q143" s="10">
        <f>Table1[[#This Row],[Profit]]/Table1[[#This Row],[Sales]]</f>
        <v>-0.2218230283363273</v>
      </c>
      <c r="R143" t="str">
        <f>IF(Table1[[#This Row],[Profit Margin]]&gt;0,"profit","loss")</f>
        <v>loss</v>
      </c>
      <c r="S143" t="str">
        <f>IF(Table1[[#This Row],[Discount]]=0,"No Discount",IF(Table1[[#This Row],[Discount]]&lt;=0.2,"low",IF(Table1[[#This Row],[Discount]]&lt;=0.3,"medium","high")))</f>
        <v>medium</v>
      </c>
      <c r="T143" s="15" t="str">
        <f>IF(Table1[[#This Row],[Days]]&lt;=2,"faster",IF(Table1[[#This Row],[Days]]&lt;=4,"Normal","slow"))</f>
        <v>Normal</v>
      </c>
    </row>
    <row r="144" spans="1:20" x14ac:dyDescent="0.25">
      <c r="A144" s="4" t="s">
        <v>177</v>
      </c>
      <c r="B144" s="1">
        <v>45156</v>
      </c>
      <c r="C144" s="1">
        <v>45163</v>
      </c>
      <c r="D144" s="13">
        <f>Table1[[#This Row],[Shipped date]]-Table1[[#This Row],[Order Date]]</f>
        <v>7</v>
      </c>
      <c r="E144" t="s">
        <v>28</v>
      </c>
      <c r="F144" s="13" t="str">
        <f>TEXT(Table1[[#This Row],[Order Date]],"MMMM")</f>
        <v>August</v>
      </c>
      <c r="G144" s="13">
        <f t="shared" si="4"/>
        <v>2023</v>
      </c>
      <c r="H144" s="13" t="str">
        <f t="shared" si="5"/>
        <v>Q3</v>
      </c>
      <c r="I144" s="1" t="s">
        <v>37</v>
      </c>
      <c r="J144" s="7" t="s">
        <v>21</v>
      </c>
      <c r="K144" s="7" t="s">
        <v>29</v>
      </c>
      <c r="L144" t="s">
        <v>43</v>
      </c>
      <c r="M144" s="9">
        <v>649.57000000000005</v>
      </c>
      <c r="N144" s="4">
        <v>8</v>
      </c>
      <c r="O144" s="12">
        <v>0</v>
      </c>
      <c r="P144" s="9">
        <v>105.66</v>
      </c>
      <c r="Q144" s="10">
        <f>Table1[[#This Row],[Profit]]/Table1[[#This Row],[Sales]]</f>
        <v>0.1626614529611897</v>
      </c>
      <c r="R144" t="str">
        <f>IF(Table1[[#This Row],[Profit Margin]]&gt;0,"profit","loss")</f>
        <v>profit</v>
      </c>
      <c r="S144" t="str">
        <f>IF(Table1[[#This Row],[Discount]]=0,"No Discount",IF(Table1[[#This Row],[Discount]]&lt;=0.2,"low",IF(Table1[[#This Row],[Discount]]&lt;=0.3,"medium","high")))</f>
        <v>No Discount</v>
      </c>
      <c r="T144" s="15" t="str">
        <f>IF(Table1[[#This Row],[Days]]&lt;=2,"faster",IF(Table1[[#This Row],[Days]]&lt;=4,"Normal","slow"))</f>
        <v>slow</v>
      </c>
    </row>
    <row r="145" spans="1:20" x14ac:dyDescent="0.25">
      <c r="A145" s="4" t="s">
        <v>178</v>
      </c>
      <c r="B145" s="1">
        <v>44947</v>
      </c>
      <c r="C145" s="1">
        <v>44953</v>
      </c>
      <c r="D145" s="13">
        <f>Table1[[#This Row],[Shipped date]]-Table1[[#This Row],[Order Date]]</f>
        <v>6</v>
      </c>
      <c r="E145" t="s">
        <v>13</v>
      </c>
      <c r="F145" s="13" t="str">
        <f>TEXT(Table1[[#This Row],[Order Date]],"MMMM")</f>
        <v>January</v>
      </c>
      <c r="G145" s="13">
        <f t="shared" si="4"/>
        <v>2023</v>
      </c>
      <c r="H145" s="13" t="str">
        <f t="shared" si="5"/>
        <v>Q1</v>
      </c>
      <c r="I145" s="1" t="s">
        <v>14</v>
      </c>
      <c r="J145" s="7" t="s">
        <v>32</v>
      </c>
      <c r="K145" s="7" t="s">
        <v>22</v>
      </c>
      <c r="L145" t="s">
        <v>40</v>
      </c>
      <c r="M145" s="9">
        <v>643.67999999999995</v>
      </c>
      <c r="N145" s="4">
        <v>7</v>
      </c>
      <c r="O145" s="12">
        <v>0.3</v>
      </c>
      <c r="P145" s="9">
        <v>-108.45</v>
      </c>
      <c r="Q145" s="10">
        <f>Table1[[#This Row],[Profit]]/Table1[[#This Row],[Sales]]</f>
        <v>-0.16848434004474275</v>
      </c>
      <c r="R145" t="str">
        <f>IF(Table1[[#This Row],[Profit Margin]]&gt;0,"profit","loss")</f>
        <v>loss</v>
      </c>
      <c r="S145" t="str">
        <f>IF(Table1[[#This Row],[Discount]]=0,"No Discount",IF(Table1[[#This Row],[Discount]]&lt;=0.2,"low",IF(Table1[[#This Row],[Discount]]&lt;=0.3,"medium","high")))</f>
        <v>medium</v>
      </c>
      <c r="T145" s="15" t="str">
        <f>IF(Table1[[#This Row],[Days]]&lt;=2,"faster",IF(Table1[[#This Row],[Days]]&lt;=4,"Normal","slow"))</f>
        <v>slow</v>
      </c>
    </row>
    <row r="146" spans="1:20" x14ac:dyDescent="0.25">
      <c r="A146" s="4" t="s">
        <v>179</v>
      </c>
      <c r="B146" s="1">
        <v>45219</v>
      </c>
      <c r="C146" s="1">
        <v>45226</v>
      </c>
      <c r="D146" s="13">
        <f>Table1[[#This Row],[Shipped date]]-Table1[[#This Row],[Order Date]]</f>
        <v>7</v>
      </c>
      <c r="E146" t="s">
        <v>19</v>
      </c>
      <c r="F146" s="13" t="str">
        <f>TEXT(Table1[[#This Row],[Order Date]],"MMMM")</f>
        <v>October</v>
      </c>
      <c r="G146" s="13">
        <f t="shared" si="4"/>
        <v>2023</v>
      </c>
      <c r="H146" s="13" t="str">
        <f t="shared" si="5"/>
        <v>Q4</v>
      </c>
      <c r="I146" s="1" t="s">
        <v>14</v>
      </c>
      <c r="J146" s="7" t="s">
        <v>21</v>
      </c>
      <c r="K146" s="7" t="s">
        <v>22</v>
      </c>
      <c r="L146" t="s">
        <v>40</v>
      </c>
      <c r="M146" s="9">
        <v>400.41</v>
      </c>
      <c r="N146" s="4">
        <v>1</v>
      </c>
      <c r="O146" s="12">
        <v>0.3</v>
      </c>
      <c r="P146" s="9">
        <v>-91.09</v>
      </c>
      <c r="Q146" s="10">
        <f>Table1[[#This Row],[Profit]]/Table1[[#This Row],[Sales]]</f>
        <v>-0.22749182088359432</v>
      </c>
      <c r="R146" t="str">
        <f>IF(Table1[[#This Row],[Profit Margin]]&gt;0,"profit","loss")</f>
        <v>loss</v>
      </c>
      <c r="S146" t="str">
        <f>IF(Table1[[#This Row],[Discount]]=0,"No Discount",IF(Table1[[#This Row],[Discount]]&lt;=0.2,"low",IF(Table1[[#This Row],[Discount]]&lt;=0.3,"medium","high")))</f>
        <v>medium</v>
      </c>
      <c r="T146" s="15" t="str">
        <f>IF(Table1[[#This Row],[Days]]&lt;=2,"faster",IF(Table1[[#This Row],[Days]]&lt;=4,"Normal","slow"))</f>
        <v>slow</v>
      </c>
    </row>
    <row r="147" spans="1:20" x14ac:dyDescent="0.25">
      <c r="A147" s="4" t="s">
        <v>180</v>
      </c>
      <c r="B147" s="1">
        <v>45087</v>
      </c>
      <c r="C147" s="1">
        <v>45092</v>
      </c>
      <c r="D147" s="13">
        <f>Table1[[#This Row],[Shipped date]]-Table1[[#This Row],[Order Date]]</f>
        <v>5</v>
      </c>
      <c r="E147" t="s">
        <v>13</v>
      </c>
      <c r="F147" s="13" t="str">
        <f>TEXT(Table1[[#This Row],[Order Date]],"MMMM")</f>
        <v>June</v>
      </c>
      <c r="G147" s="13">
        <f t="shared" si="4"/>
        <v>2023</v>
      </c>
      <c r="H147" s="13" t="str">
        <f t="shared" si="5"/>
        <v>Q2</v>
      </c>
      <c r="I147" s="1" t="s">
        <v>37</v>
      </c>
      <c r="J147" s="7" t="s">
        <v>15</v>
      </c>
      <c r="K147" s="7" t="s">
        <v>29</v>
      </c>
      <c r="L147" t="s">
        <v>30</v>
      </c>
      <c r="M147" s="9">
        <v>814.98</v>
      </c>
      <c r="N147" s="4">
        <v>7</v>
      </c>
      <c r="O147" s="12">
        <v>0.2</v>
      </c>
      <c r="P147" s="9">
        <v>-35.6</v>
      </c>
      <c r="Q147" s="10">
        <f>Table1[[#This Row],[Profit]]/Table1[[#This Row],[Sales]]</f>
        <v>-4.3682053547326315E-2</v>
      </c>
      <c r="R147" t="str">
        <f>IF(Table1[[#This Row],[Profit Margin]]&gt;0,"profit","loss")</f>
        <v>loss</v>
      </c>
      <c r="S147" t="str">
        <f>IF(Table1[[#This Row],[Discount]]=0,"No Discount",IF(Table1[[#This Row],[Discount]]&lt;=0.2,"low",IF(Table1[[#This Row],[Discount]]&lt;=0.3,"medium","high")))</f>
        <v>low</v>
      </c>
      <c r="T147" s="15" t="str">
        <f>IF(Table1[[#This Row],[Days]]&lt;=2,"faster",IF(Table1[[#This Row],[Days]]&lt;=4,"Normal","slow"))</f>
        <v>slow</v>
      </c>
    </row>
    <row r="148" spans="1:20" x14ac:dyDescent="0.25">
      <c r="A148" s="4" t="s">
        <v>181</v>
      </c>
      <c r="B148" s="1">
        <v>45052</v>
      </c>
      <c r="C148" s="1">
        <v>45057</v>
      </c>
      <c r="D148" s="13">
        <f>Table1[[#This Row],[Shipped date]]-Table1[[#This Row],[Order Date]]</f>
        <v>5</v>
      </c>
      <c r="E148" t="s">
        <v>25</v>
      </c>
      <c r="F148" s="13" t="str">
        <f>TEXT(Table1[[#This Row],[Order Date]],"MMMM")</f>
        <v>May</v>
      </c>
      <c r="G148" s="13">
        <f t="shared" si="4"/>
        <v>2023</v>
      </c>
      <c r="H148" s="13" t="str">
        <f t="shared" si="5"/>
        <v>Q2</v>
      </c>
      <c r="I148" s="1" t="s">
        <v>37</v>
      </c>
      <c r="J148" s="7" t="s">
        <v>21</v>
      </c>
      <c r="K148" s="7" t="s">
        <v>16</v>
      </c>
      <c r="L148" t="s">
        <v>38</v>
      </c>
      <c r="M148" s="9">
        <v>398.38</v>
      </c>
      <c r="N148" s="4">
        <v>5</v>
      </c>
      <c r="O148" s="12">
        <v>0</v>
      </c>
      <c r="P148" s="9">
        <v>65.44</v>
      </c>
      <c r="Q148" s="10">
        <f>Table1[[#This Row],[Profit]]/Table1[[#This Row],[Sales]]</f>
        <v>0.1642652743611627</v>
      </c>
      <c r="R148" t="str">
        <f>IF(Table1[[#This Row],[Profit Margin]]&gt;0,"profit","loss")</f>
        <v>profit</v>
      </c>
      <c r="S148" t="str">
        <f>IF(Table1[[#This Row],[Discount]]=0,"No Discount",IF(Table1[[#This Row],[Discount]]&lt;=0.2,"low",IF(Table1[[#This Row],[Discount]]&lt;=0.3,"medium","high")))</f>
        <v>No Discount</v>
      </c>
      <c r="T148" s="15" t="str">
        <f>IF(Table1[[#This Row],[Days]]&lt;=2,"faster",IF(Table1[[#This Row],[Days]]&lt;=4,"Normal","slow"))</f>
        <v>slow</v>
      </c>
    </row>
    <row r="149" spans="1:20" x14ac:dyDescent="0.25">
      <c r="A149" s="4" t="s">
        <v>182</v>
      </c>
      <c r="B149" s="1">
        <v>45099</v>
      </c>
      <c r="C149" s="1">
        <v>45102</v>
      </c>
      <c r="D149" s="13">
        <f>Table1[[#This Row],[Shipped date]]-Table1[[#This Row],[Order Date]]</f>
        <v>3</v>
      </c>
      <c r="E149" t="s">
        <v>25</v>
      </c>
      <c r="F149" s="13" t="str">
        <f>TEXT(Table1[[#This Row],[Order Date]],"MMMM")</f>
        <v>June</v>
      </c>
      <c r="G149" s="13">
        <f t="shared" si="4"/>
        <v>2023</v>
      </c>
      <c r="H149" s="13" t="str">
        <f t="shared" si="5"/>
        <v>Q2</v>
      </c>
      <c r="I149" s="1" t="s">
        <v>20</v>
      </c>
      <c r="J149" s="7" t="s">
        <v>32</v>
      </c>
      <c r="K149" s="7" t="s">
        <v>16</v>
      </c>
      <c r="L149" t="s">
        <v>17</v>
      </c>
      <c r="M149" s="9">
        <v>222.55</v>
      </c>
      <c r="N149" s="4">
        <v>8</v>
      </c>
      <c r="O149" s="12">
        <v>0</v>
      </c>
      <c r="P149" s="9">
        <v>7.11</v>
      </c>
      <c r="Q149" s="10">
        <f>Table1[[#This Row],[Profit]]/Table1[[#This Row],[Sales]]</f>
        <v>3.1947876881599641E-2</v>
      </c>
      <c r="R149" t="str">
        <f>IF(Table1[[#This Row],[Profit Margin]]&gt;0,"profit","loss")</f>
        <v>profit</v>
      </c>
      <c r="S149" t="str">
        <f>IF(Table1[[#This Row],[Discount]]=0,"No Discount",IF(Table1[[#This Row],[Discount]]&lt;=0.2,"low",IF(Table1[[#This Row],[Discount]]&lt;=0.3,"medium","high")))</f>
        <v>No Discount</v>
      </c>
      <c r="T149" s="15" t="str">
        <f>IF(Table1[[#This Row],[Days]]&lt;=2,"faster",IF(Table1[[#This Row],[Days]]&lt;=4,"Normal","slow"))</f>
        <v>Normal</v>
      </c>
    </row>
    <row r="150" spans="1:20" x14ac:dyDescent="0.25">
      <c r="A150" s="4" t="s">
        <v>183</v>
      </c>
      <c r="B150" s="1">
        <v>45228</v>
      </c>
      <c r="C150" s="1">
        <v>45233</v>
      </c>
      <c r="D150" s="13">
        <f>Table1[[#This Row],[Shipped date]]-Table1[[#This Row],[Order Date]]</f>
        <v>5</v>
      </c>
      <c r="E150" t="s">
        <v>25</v>
      </c>
      <c r="F150" s="13" t="str">
        <f>TEXT(Table1[[#This Row],[Order Date]],"MMMM")</f>
        <v>October</v>
      </c>
      <c r="G150" s="13">
        <f t="shared" si="4"/>
        <v>2023</v>
      </c>
      <c r="H150" s="13" t="str">
        <f t="shared" si="5"/>
        <v>Q4</v>
      </c>
      <c r="I150" s="1" t="s">
        <v>14</v>
      </c>
      <c r="J150" s="7" t="s">
        <v>26</v>
      </c>
      <c r="K150" s="7" t="s">
        <v>22</v>
      </c>
      <c r="L150" t="s">
        <v>35</v>
      </c>
      <c r="M150" s="9">
        <v>118.76</v>
      </c>
      <c r="N150" s="4">
        <v>3</v>
      </c>
      <c r="O150" s="12">
        <v>0.1</v>
      </c>
      <c r="P150" s="9">
        <v>-17.27</v>
      </c>
      <c r="Q150" s="10">
        <f>Table1[[#This Row],[Profit]]/Table1[[#This Row],[Sales]]</f>
        <v>-0.14541933310879082</v>
      </c>
      <c r="R150" t="str">
        <f>IF(Table1[[#This Row],[Profit Margin]]&gt;0,"profit","loss")</f>
        <v>loss</v>
      </c>
      <c r="S150" t="str">
        <f>IF(Table1[[#This Row],[Discount]]=0,"No Discount",IF(Table1[[#This Row],[Discount]]&lt;=0.2,"low",IF(Table1[[#This Row],[Discount]]&lt;=0.3,"medium","high")))</f>
        <v>low</v>
      </c>
      <c r="T150" s="15" t="str">
        <f>IF(Table1[[#This Row],[Days]]&lt;=2,"faster",IF(Table1[[#This Row],[Days]]&lt;=4,"Normal","slow"))</f>
        <v>slow</v>
      </c>
    </row>
    <row r="151" spans="1:20" x14ac:dyDescent="0.25">
      <c r="A151" s="4" t="s">
        <v>184</v>
      </c>
      <c r="B151" s="1">
        <v>45093</v>
      </c>
      <c r="C151" s="1">
        <v>45099</v>
      </c>
      <c r="D151" s="13">
        <f>Table1[[#This Row],[Shipped date]]-Table1[[#This Row],[Order Date]]</f>
        <v>6</v>
      </c>
      <c r="E151" t="s">
        <v>13</v>
      </c>
      <c r="F151" s="13" t="str">
        <f>TEXT(Table1[[#This Row],[Order Date]],"MMMM")</f>
        <v>June</v>
      </c>
      <c r="G151" s="13">
        <f t="shared" si="4"/>
        <v>2023</v>
      </c>
      <c r="H151" s="13" t="str">
        <f t="shared" si="5"/>
        <v>Q2</v>
      </c>
      <c r="I151" s="1" t="s">
        <v>37</v>
      </c>
      <c r="J151" s="7" t="s">
        <v>32</v>
      </c>
      <c r="K151" s="7" t="s">
        <v>22</v>
      </c>
      <c r="L151" t="s">
        <v>35</v>
      </c>
      <c r="M151" s="9">
        <v>625.89</v>
      </c>
      <c r="N151" s="4">
        <v>10</v>
      </c>
      <c r="O151" s="12">
        <v>0.2</v>
      </c>
      <c r="P151" s="9">
        <v>-77.61</v>
      </c>
      <c r="Q151" s="10">
        <f>Table1[[#This Row],[Profit]]/Table1[[#This Row],[Sales]]</f>
        <v>-0.12399942481905767</v>
      </c>
      <c r="R151" t="str">
        <f>IF(Table1[[#This Row],[Profit Margin]]&gt;0,"profit","loss")</f>
        <v>loss</v>
      </c>
      <c r="S151" t="str">
        <f>IF(Table1[[#This Row],[Discount]]=0,"No Discount",IF(Table1[[#This Row],[Discount]]&lt;=0.2,"low",IF(Table1[[#This Row],[Discount]]&lt;=0.3,"medium","high")))</f>
        <v>low</v>
      </c>
      <c r="T151" s="15" t="str">
        <f>IF(Table1[[#This Row],[Days]]&lt;=2,"faster",IF(Table1[[#This Row],[Days]]&lt;=4,"Normal","slow"))</f>
        <v>slow</v>
      </c>
    </row>
    <row r="152" spans="1:20" x14ac:dyDescent="0.25">
      <c r="A152" s="4" t="s">
        <v>185</v>
      </c>
      <c r="B152" s="1">
        <v>45005</v>
      </c>
      <c r="C152" s="1">
        <v>45012</v>
      </c>
      <c r="D152" s="13">
        <f>Table1[[#This Row],[Shipped date]]-Table1[[#This Row],[Order Date]]</f>
        <v>7</v>
      </c>
      <c r="E152" t="s">
        <v>13</v>
      </c>
      <c r="F152" s="13" t="str">
        <f>TEXT(Table1[[#This Row],[Order Date]],"MMMM")</f>
        <v>March</v>
      </c>
      <c r="G152" s="13">
        <f t="shared" si="4"/>
        <v>2023</v>
      </c>
      <c r="H152" s="13" t="str">
        <f t="shared" si="5"/>
        <v>Q1</v>
      </c>
      <c r="I152" s="1" t="s">
        <v>37</v>
      </c>
      <c r="J152" s="7" t="s">
        <v>26</v>
      </c>
      <c r="K152" s="7" t="s">
        <v>16</v>
      </c>
      <c r="L152" t="s">
        <v>33</v>
      </c>
      <c r="M152" s="9">
        <v>332.6</v>
      </c>
      <c r="N152" s="4">
        <v>10</v>
      </c>
      <c r="O152" s="12">
        <v>0.1</v>
      </c>
      <c r="P152" s="9">
        <v>27.71</v>
      </c>
      <c r="Q152" s="10">
        <f>Table1[[#This Row],[Profit]]/Table1[[#This Row],[Sales]]</f>
        <v>8.3313289236319907E-2</v>
      </c>
      <c r="R152" t="str">
        <f>IF(Table1[[#This Row],[Profit Margin]]&gt;0,"profit","loss")</f>
        <v>profit</v>
      </c>
      <c r="S152" t="str">
        <f>IF(Table1[[#This Row],[Discount]]=0,"No Discount",IF(Table1[[#This Row],[Discount]]&lt;=0.2,"low",IF(Table1[[#This Row],[Discount]]&lt;=0.3,"medium","high")))</f>
        <v>low</v>
      </c>
      <c r="T152" s="15" t="str">
        <f>IF(Table1[[#This Row],[Days]]&lt;=2,"faster",IF(Table1[[#This Row],[Days]]&lt;=4,"Normal","slow"))</f>
        <v>slow</v>
      </c>
    </row>
    <row r="153" spans="1:20" x14ac:dyDescent="0.25">
      <c r="A153" s="4" t="s">
        <v>186</v>
      </c>
      <c r="B153" s="1">
        <v>45150</v>
      </c>
      <c r="C153" s="1">
        <v>45155</v>
      </c>
      <c r="D153" s="13">
        <f>Table1[[#This Row],[Shipped date]]-Table1[[#This Row],[Order Date]]</f>
        <v>5</v>
      </c>
      <c r="E153" t="s">
        <v>28</v>
      </c>
      <c r="F153" s="13" t="str">
        <f>TEXT(Table1[[#This Row],[Order Date]],"MMMM")</f>
        <v>August</v>
      </c>
      <c r="G153" s="13">
        <f t="shared" si="4"/>
        <v>2023</v>
      </c>
      <c r="H153" s="13" t="str">
        <f t="shared" si="5"/>
        <v>Q3</v>
      </c>
      <c r="I153" s="1" t="s">
        <v>14</v>
      </c>
      <c r="J153" s="7" t="s">
        <v>21</v>
      </c>
      <c r="K153" s="7" t="s">
        <v>22</v>
      </c>
      <c r="L153" t="s">
        <v>23</v>
      </c>
      <c r="M153" s="9">
        <v>353.81</v>
      </c>
      <c r="N153" s="4">
        <v>3</v>
      </c>
      <c r="O153" s="12">
        <v>0.2</v>
      </c>
      <c r="P153" s="9">
        <v>-35.65</v>
      </c>
      <c r="Q153" s="10">
        <f>Table1[[#This Row],[Profit]]/Table1[[#This Row],[Sales]]</f>
        <v>-0.10076029507362709</v>
      </c>
      <c r="R153" t="str">
        <f>IF(Table1[[#This Row],[Profit Margin]]&gt;0,"profit","loss")</f>
        <v>loss</v>
      </c>
      <c r="S153" t="str">
        <f>IF(Table1[[#This Row],[Discount]]=0,"No Discount",IF(Table1[[#This Row],[Discount]]&lt;=0.2,"low",IF(Table1[[#This Row],[Discount]]&lt;=0.3,"medium","high")))</f>
        <v>low</v>
      </c>
      <c r="T153" s="15" t="str">
        <f>IF(Table1[[#This Row],[Days]]&lt;=2,"faster",IF(Table1[[#This Row],[Days]]&lt;=4,"Normal","slow"))</f>
        <v>slow</v>
      </c>
    </row>
    <row r="154" spans="1:20" x14ac:dyDescent="0.25">
      <c r="A154" s="4" t="s">
        <v>187</v>
      </c>
      <c r="B154" s="1">
        <v>45124</v>
      </c>
      <c r="C154" s="1">
        <v>45126</v>
      </c>
      <c r="D154" s="13">
        <f>Table1[[#This Row],[Shipped date]]-Table1[[#This Row],[Order Date]]</f>
        <v>2</v>
      </c>
      <c r="E154" t="s">
        <v>13</v>
      </c>
      <c r="F154" s="13" t="str">
        <f>TEXT(Table1[[#This Row],[Order Date]],"MMMM")</f>
        <v>July</v>
      </c>
      <c r="G154" s="13">
        <f t="shared" si="4"/>
        <v>2023</v>
      </c>
      <c r="H154" s="13" t="str">
        <f t="shared" si="5"/>
        <v>Q3</v>
      </c>
      <c r="I154" s="1" t="s">
        <v>14</v>
      </c>
      <c r="J154" s="7" t="s">
        <v>32</v>
      </c>
      <c r="K154" s="7" t="s">
        <v>29</v>
      </c>
      <c r="L154" t="s">
        <v>45</v>
      </c>
      <c r="M154" s="9">
        <v>135.80000000000001</v>
      </c>
      <c r="N154" s="4">
        <v>8</v>
      </c>
      <c r="O154" s="12">
        <v>0</v>
      </c>
      <c r="P154" s="9">
        <v>17.96</v>
      </c>
      <c r="Q154" s="10">
        <f>Table1[[#This Row],[Profit]]/Table1[[#This Row],[Sales]]</f>
        <v>0.13225331369661267</v>
      </c>
      <c r="R154" t="str">
        <f>IF(Table1[[#This Row],[Profit Margin]]&gt;0,"profit","loss")</f>
        <v>profit</v>
      </c>
      <c r="S154" t="str">
        <f>IF(Table1[[#This Row],[Discount]]=0,"No Discount",IF(Table1[[#This Row],[Discount]]&lt;=0.2,"low",IF(Table1[[#This Row],[Discount]]&lt;=0.3,"medium","high")))</f>
        <v>No Discount</v>
      </c>
      <c r="T154" s="15" t="str">
        <f>IF(Table1[[#This Row],[Days]]&lt;=2,"faster",IF(Table1[[#This Row],[Days]]&lt;=4,"Normal","slow"))</f>
        <v>faster</v>
      </c>
    </row>
    <row r="155" spans="1:20" x14ac:dyDescent="0.25">
      <c r="A155" s="4" t="s">
        <v>188</v>
      </c>
      <c r="B155" s="1">
        <v>45138</v>
      </c>
      <c r="C155" s="1">
        <v>45141</v>
      </c>
      <c r="D155" s="13">
        <f>Table1[[#This Row],[Shipped date]]-Table1[[#This Row],[Order Date]]</f>
        <v>3</v>
      </c>
      <c r="E155" t="s">
        <v>19</v>
      </c>
      <c r="F155" s="13" t="str">
        <f>TEXT(Table1[[#This Row],[Order Date]],"MMMM")</f>
        <v>July</v>
      </c>
      <c r="G155" s="13">
        <f t="shared" si="4"/>
        <v>2023</v>
      </c>
      <c r="H155" s="13" t="str">
        <f t="shared" si="5"/>
        <v>Q3</v>
      </c>
      <c r="I155" s="1" t="s">
        <v>20</v>
      </c>
      <c r="J155" s="7" t="s">
        <v>15</v>
      </c>
      <c r="K155" s="7" t="s">
        <v>16</v>
      </c>
      <c r="L155" t="s">
        <v>33</v>
      </c>
      <c r="M155" s="9">
        <v>937.92</v>
      </c>
      <c r="N155" s="4">
        <v>10</v>
      </c>
      <c r="O155" s="12">
        <v>0.3</v>
      </c>
      <c r="P155" s="9">
        <v>-156.13</v>
      </c>
      <c r="Q155" s="10">
        <f>Table1[[#This Row],[Profit]]/Table1[[#This Row],[Sales]]</f>
        <v>-0.16646409075400886</v>
      </c>
      <c r="R155" t="str">
        <f>IF(Table1[[#This Row],[Profit Margin]]&gt;0,"profit","loss")</f>
        <v>loss</v>
      </c>
      <c r="S155" t="str">
        <f>IF(Table1[[#This Row],[Discount]]=0,"No Discount",IF(Table1[[#This Row],[Discount]]&lt;=0.2,"low",IF(Table1[[#This Row],[Discount]]&lt;=0.3,"medium","high")))</f>
        <v>medium</v>
      </c>
      <c r="T155" s="15" t="str">
        <f>IF(Table1[[#This Row],[Days]]&lt;=2,"faster",IF(Table1[[#This Row],[Days]]&lt;=4,"Normal","slow"))</f>
        <v>Normal</v>
      </c>
    </row>
    <row r="156" spans="1:20" x14ac:dyDescent="0.25">
      <c r="A156" s="4" t="s">
        <v>189</v>
      </c>
      <c r="B156" s="1">
        <v>45228</v>
      </c>
      <c r="C156" s="1">
        <v>45231</v>
      </c>
      <c r="D156" s="13">
        <f>Table1[[#This Row],[Shipped date]]-Table1[[#This Row],[Order Date]]</f>
        <v>3</v>
      </c>
      <c r="E156" t="s">
        <v>25</v>
      </c>
      <c r="F156" s="13" t="str">
        <f>TEXT(Table1[[#This Row],[Order Date]],"MMMM")</f>
        <v>October</v>
      </c>
      <c r="G156" s="13">
        <f t="shared" si="4"/>
        <v>2023</v>
      </c>
      <c r="H156" s="13" t="str">
        <f t="shared" si="5"/>
        <v>Q4</v>
      </c>
      <c r="I156" s="1" t="s">
        <v>20</v>
      </c>
      <c r="J156" s="7" t="s">
        <v>21</v>
      </c>
      <c r="K156" s="7" t="s">
        <v>22</v>
      </c>
      <c r="L156" t="s">
        <v>35</v>
      </c>
      <c r="M156" s="9">
        <v>807.41</v>
      </c>
      <c r="N156" s="4">
        <v>7</v>
      </c>
      <c r="O156" s="12">
        <v>0</v>
      </c>
      <c r="P156" s="9">
        <v>99.1</v>
      </c>
      <c r="Q156" s="10">
        <f>Table1[[#This Row],[Profit]]/Table1[[#This Row],[Sales]]</f>
        <v>0.12273813799680459</v>
      </c>
      <c r="R156" t="str">
        <f>IF(Table1[[#This Row],[Profit Margin]]&gt;0,"profit","loss")</f>
        <v>profit</v>
      </c>
      <c r="S156" t="str">
        <f>IF(Table1[[#This Row],[Discount]]=0,"No Discount",IF(Table1[[#This Row],[Discount]]&lt;=0.2,"low",IF(Table1[[#This Row],[Discount]]&lt;=0.3,"medium","high")))</f>
        <v>No Discount</v>
      </c>
      <c r="T156" s="15" t="str">
        <f>IF(Table1[[#This Row],[Days]]&lt;=2,"faster",IF(Table1[[#This Row],[Days]]&lt;=4,"Normal","slow"))</f>
        <v>Normal</v>
      </c>
    </row>
    <row r="157" spans="1:20" x14ac:dyDescent="0.25">
      <c r="A157" s="4" t="s">
        <v>190</v>
      </c>
      <c r="B157" s="1">
        <v>45269</v>
      </c>
      <c r="C157" s="1">
        <v>45274</v>
      </c>
      <c r="D157" s="13">
        <f>Table1[[#This Row],[Shipped date]]-Table1[[#This Row],[Order Date]]</f>
        <v>5</v>
      </c>
      <c r="E157" t="s">
        <v>28</v>
      </c>
      <c r="F157" s="13" t="str">
        <f>TEXT(Table1[[#This Row],[Order Date]],"MMMM")</f>
        <v>December</v>
      </c>
      <c r="G157" s="13">
        <f t="shared" si="4"/>
        <v>2023</v>
      </c>
      <c r="H157" s="13" t="str">
        <f t="shared" si="5"/>
        <v>Q4</v>
      </c>
      <c r="I157" s="1" t="s">
        <v>37</v>
      </c>
      <c r="J157" s="7" t="s">
        <v>32</v>
      </c>
      <c r="K157" s="7" t="s">
        <v>29</v>
      </c>
      <c r="L157" t="s">
        <v>30</v>
      </c>
      <c r="M157" s="9">
        <v>435</v>
      </c>
      <c r="N157" s="4">
        <v>7</v>
      </c>
      <c r="O157" s="12">
        <v>0.3</v>
      </c>
      <c r="P157" s="9">
        <v>-50.52</v>
      </c>
      <c r="Q157" s="10">
        <f>Table1[[#This Row],[Profit]]/Table1[[#This Row],[Sales]]</f>
        <v>-0.11613793103448276</v>
      </c>
      <c r="R157" t="str">
        <f>IF(Table1[[#This Row],[Profit Margin]]&gt;0,"profit","loss")</f>
        <v>loss</v>
      </c>
      <c r="S157" t="str">
        <f>IF(Table1[[#This Row],[Discount]]=0,"No Discount",IF(Table1[[#This Row],[Discount]]&lt;=0.2,"low",IF(Table1[[#This Row],[Discount]]&lt;=0.3,"medium","high")))</f>
        <v>medium</v>
      </c>
      <c r="T157" s="15" t="str">
        <f>IF(Table1[[#This Row],[Days]]&lt;=2,"faster",IF(Table1[[#This Row],[Days]]&lt;=4,"Normal","slow"))</f>
        <v>slow</v>
      </c>
    </row>
    <row r="158" spans="1:20" x14ac:dyDescent="0.25">
      <c r="A158" s="4" t="s">
        <v>191</v>
      </c>
      <c r="B158" s="1">
        <v>44992</v>
      </c>
      <c r="C158" s="1">
        <v>44994</v>
      </c>
      <c r="D158" s="13">
        <f>Table1[[#This Row],[Shipped date]]-Table1[[#This Row],[Order Date]]</f>
        <v>2</v>
      </c>
      <c r="E158" t="s">
        <v>28</v>
      </c>
      <c r="F158" s="13" t="str">
        <f>TEXT(Table1[[#This Row],[Order Date]],"MMMM")</f>
        <v>March</v>
      </c>
      <c r="G158" s="13">
        <f t="shared" si="4"/>
        <v>2023</v>
      </c>
      <c r="H158" s="13" t="str">
        <f t="shared" si="5"/>
        <v>Q1</v>
      </c>
      <c r="I158" s="1" t="s">
        <v>37</v>
      </c>
      <c r="J158" s="7" t="s">
        <v>21</v>
      </c>
      <c r="K158" s="7" t="s">
        <v>22</v>
      </c>
      <c r="L158" t="s">
        <v>40</v>
      </c>
      <c r="M158" s="9">
        <v>990.7</v>
      </c>
      <c r="N158" s="4">
        <v>9</v>
      </c>
      <c r="O158" s="12">
        <v>0.3</v>
      </c>
      <c r="P158" s="9">
        <v>-209.2</v>
      </c>
      <c r="Q158" s="10">
        <f>Table1[[#This Row],[Profit]]/Table1[[#This Row],[Sales]]</f>
        <v>-0.2111638235590996</v>
      </c>
      <c r="R158" t="str">
        <f>IF(Table1[[#This Row],[Profit Margin]]&gt;0,"profit","loss")</f>
        <v>loss</v>
      </c>
      <c r="S158" t="str">
        <f>IF(Table1[[#This Row],[Discount]]=0,"No Discount",IF(Table1[[#This Row],[Discount]]&lt;=0.2,"low",IF(Table1[[#This Row],[Discount]]&lt;=0.3,"medium","high")))</f>
        <v>medium</v>
      </c>
      <c r="T158" s="15" t="str">
        <f>IF(Table1[[#This Row],[Days]]&lt;=2,"faster",IF(Table1[[#This Row],[Days]]&lt;=4,"Normal","slow"))</f>
        <v>faster</v>
      </c>
    </row>
    <row r="159" spans="1:20" x14ac:dyDescent="0.25">
      <c r="A159" s="4" t="s">
        <v>192</v>
      </c>
      <c r="B159" s="1">
        <v>44957</v>
      </c>
      <c r="C159" s="1">
        <v>44959</v>
      </c>
      <c r="D159" s="13">
        <f>Table1[[#This Row],[Shipped date]]-Table1[[#This Row],[Order Date]]</f>
        <v>2</v>
      </c>
      <c r="E159" t="s">
        <v>13</v>
      </c>
      <c r="F159" s="13" t="str">
        <f>TEXT(Table1[[#This Row],[Order Date]],"MMMM")</f>
        <v>January</v>
      </c>
      <c r="G159" s="13">
        <f t="shared" si="4"/>
        <v>2023</v>
      </c>
      <c r="H159" s="13" t="str">
        <f t="shared" si="5"/>
        <v>Q1</v>
      </c>
      <c r="I159" s="1" t="s">
        <v>20</v>
      </c>
      <c r="J159" s="7" t="s">
        <v>32</v>
      </c>
      <c r="K159" s="7" t="s">
        <v>22</v>
      </c>
      <c r="L159" t="s">
        <v>40</v>
      </c>
      <c r="M159" s="9">
        <v>265.02</v>
      </c>
      <c r="N159" s="4">
        <v>6</v>
      </c>
      <c r="O159" s="12">
        <v>0.3</v>
      </c>
      <c r="P159" s="9">
        <v>-49.15</v>
      </c>
      <c r="Q159" s="10">
        <f>Table1[[#This Row],[Profit]]/Table1[[#This Row],[Sales]]</f>
        <v>-0.18545770130556186</v>
      </c>
      <c r="R159" t="str">
        <f>IF(Table1[[#This Row],[Profit Margin]]&gt;0,"profit","loss")</f>
        <v>loss</v>
      </c>
      <c r="S159" t="str">
        <f>IF(Table1[[#This Row],[Discount]]=0,"No Discount",IF(Table1[[#This Row],[Discount]]&lt;=0.2,"low",IF(Table1[[#This Row],[Discount]]&lt;=0.3,"medium","high")))</f>
        <v>medium</v>
      </c>
      <c r="T159" s="15" t="str">
        <f>IF(Table1[[#This Row],[Days]]&lt;=2,"faster",IF(Table1[[#This Row],[Days]]&lt;=4,"Normal","slow"))</f>
        <v>faster</v>
      </c>
    </row>
    <row r="160" spans="1:20" x14ac:dyDescent="0.25">
      <c r="A160" s="4" t="s">
        <v>193</v>
      </c>
      <c r="B160" s="1">
        <v>45133</v>
      </c>
      <c r="C160" s="1">
        <v>45137</v>
      </c>
      <c r="D160" s="13">
        <f>Table1[[#This Row],[Shipped date]]-Table1[[#This Row],[Order Date]]</f>
        <v>4</v>
      </c>
      <c r="E160" t="s">
        <v>13</v>
      </c>
      <c r="F160" s="13" t="str">
        <f>TEXT(Table1[[#This Row],[Order Date]],"MMMM")</f>
        <v>July</v>
      </c>
      <c r="G160" s="13">
        <f t="shared" si="4"/>
        <v>2023</v>
      </c>
      <c r="H160" s="13" t="str">
        <f t="shared" si="5"/>
        <v>Q3</v>
      </c>
      <c r="I160" s="1" t="s">
        <v>14</v>
      </c>
      <c r="J160" s="7" t="s">
        <v>21</v>
      </c>
      <c r="K160" s="7" t="s">
        <v>16</v>
      </c>
      <c r="L160" t="s">
        <v>17</v>
      </c>
      <c r="M160" s="9">
        <v>932.14</v>
      </c>
      <c r="N160" s="4">
        <v>5</v>
      </c>
      <c r="O160" s="12">
        <v>0</v>
      </c>
      <c r="P160" s="9">
        <v>89.92</v>
      </c>
      <c r="Q160" s="10">
        <f>Table1[[#This Row],[Profit]]/Table1[[#This Row],[Sales]]</f>
        <v>9.6466196064968784E-2</v>
      </c>
      <c r="R160" t="str">
        <f>IF(Table1[[#This Row],[Profit Margin]]&gt;0,"profit","loss")</f>
        <v>profit</v>
      </c>
      <c r="S160" t="str">
        <f>IF(Table1[[#This Row],[Discount]]=0,"No Discount",IF(Table1[[#This Row],[Discount]]&lt;=0.2,"low",IF(Table1[[#This Row],[Discount]]&lt;=0.3,"medium","high")))</f>
        <v>No Discount</v>
      </c>
      <c r="T160" s="15" t="str">
        <f>IF(Table1[[#This Row],[Days]]&lt;=2,"faster",IF(Table1[[#This Row],[Days]]&lt;=4,"Normal","slow"))</f>
        <v>Normal</v>
      </c>
    </row>
    <row r="161" spans="1:20" x14ac:dyDescent="0.25">
      <c r="A161" s="4" t="s">
        <v>194</v>
      </c>
      <c r="B161" s="1">
        <v>45154</v>
      </c>
      <c r="C161" s="1">
        <v>45158</v>
      </c>
      <c r="D161" s="13">
        <f>Table1[[#This Row],[Shipped date]]-Table1[[#This Row],[Order Date]]</f>
        <v>4</v>
      </c>
      <c r="E161" t="s">
        <v>28</v>
      </c>
      <c r="F161" s="13" t="str">
        <f>TEXT(Table1[[#This Row],[Order Date]],"MMMM")</f>
        <v>August</v>
      </c>
      <c r="G161" s="13">
        <f t="shared" si="4"/>
        <v>2023</v>
      </c>
      <c r="H161" s="13" t="str">
        <f t="shared" si="5"/>
        <v>Q3</v>
      </c>
      <c r="I161" s="1" t="s">
        <v>20</v>
      </c>
      <c r="J161" s="7" t="s">
        <v>32</v>
      </c>
      <c r="K161" s="7" t="s">
        <v>16</v>
      </c>
      <c r="L161" t="s">
        <v>38</v>
      </c>
      <c r="M161" s="9">
        <v>686.25</v>
      </c>
      <c r="N161" s="4">
        <v>3</v>
      </c>
      <c r="O161" s="12">
        <v>0.2</v>
      </c>
      <c r="P161" s="9">
        <v>-35.81</v>
      </c>
      <c r="Q161" s="10">
        <f>Table1[[#This Row],[Profit]]/Table1[[#This Row],[Sales]]</f>
        <v>-5.2182149362477233E-2</v>
      </c>
      <c r="R161" t="str">
        <f>IF(Table1[[#This Row],[Profit Margin]]&gt;0,"profit","loss")</f>
        <v>loss</v>
      </c>
      <c r="S161" t="str">
        <f>IF(Table1[[#This Row],[Discount]]=0,"No Discount",IF(Table1[[#This Row],[Discount]]&lt;=0.2,"low",IF(Table1[[#This Row],[Discount]]&lt;=0.3,"medium","high")))</f>
        <v>low</v>
      </c>
      <c r="T161" s="15" t="str">
        <f>IF(Table1[[#This Row],[Days]]&lt;=2,"faster",IF(Table1[[#This Row],[Days]]&lt;=4,"Normal","slow"))</f>
        <v>Normal</v>
      </c>
    </row>
    <row r="162" spans="1:20" x14ac:dyDescent="0.25">
      <c r="A162" s="4" t="s">
        <v>195</v>
      </c>
      <c r="B162" s="1">
        <v>45041</v>
      </c>
      <c r="C162" s="1">
        <v>45048</v>
      </c>
      <c r="D162" s="13">
        <f>Table1[[#This Row],[Shipped date]]-Table1[[#This Row],[Order Date]]</f>
        <v>7</v>
      </c>
      <c r="E162" t="s">
        <v>13</v>
      </c>
      <c r="F162" s="13" t="str">
        <f>TEXT(Table1[[#This Row],[Order Date]],"MMMM")</f>
        <v>April</v>
      </c>
      <c r="G162" s="13">
        <f t="shared" si="4"/>
        <v>2023</v>
      </c>
      <c r="H162" s="13" t="str">
        <f t="shared" si="5"/>
        <v>Q2</v>
      </c>
      <c r="I162" s="1" t="s">
        <v>14</v>
      </c>
      <c r="J162" s="7" t="s">
        <v>15</v>
      </c>
      <c r="K162" s="7" t="s">
        <v>29</v>
      </c>
      <c r="L162" t="s">
        <v>45</v>
      </c>
      <c r="M162" s="9">
        <v>121.06</v>
      </c>
      <c r="N162" s="4">
        <v>7</v>
      </c>
      <c r="O162" s="12">
        <v>0</v>
      </c>
      <c r="P162" s="9">
        <v>29.51</v>
      </c>
      <c r="Q162" s="10">
        <f>Table1[[#This Row],[Profit]]/Table1[[#This Row],[Sales]]</f>
        <v>0.24376342309598548</v>
      </c>
      <c r="R162" t="str">
        <f>IF(Table1[[#This Row],[Profit Margin]]&gt;0,"profit","loss")</f>
        <v>profit</v>
      </c>
      <c r="S162" t="str">
        <f>IF(Table1[[#This Row],[Discount]]=0,"No Discount",IF(Table1[[#This Row],[Discount]]&lt;=0.2,"low",IF(Table1[[#This Row],[Discount]]&lt;=0.3,"medium","high")))</f>
        <v>No Discount</v>
      </c>
      <c r="T162" s="15" t="str">
        <f>IF(Table1[[#This Row],[Days]]&lt;=2,"faster",IF(Table1[[#This Row],[Days]]&lt;=4,"Normal","slow"))</f>
        <v>slow</v>
      </c>
    </row>
    <row r="163" spans="1:20" x14ac:dyDescent="0.25">
      <c r="A163" s="4" t="s">
        <v>196</v>
      </c>
      <c r="B163" s="1">
        <v>45001</v>
      </c>
      <c r="C163" s="1">
        <v>45007</v>
      </c>
      <c r="D163" s="13">
        <f>Table1[[#This Row],[Shipped date]]-Table1[[#This Row],[Order Date]]</f>
        <v>6</v>
      </c>
      <c r="E163" t="s">
        <v>25</v>
      </c>
      <c r="F163" s="13" t="str">
        <f>TEXT(Table1[[#This Row],[Order Date]],"MMMM")</f>
        <v>March</v>
      </c>
      <c r="G163" s="13">
        <f t="shared" si="4"/>
        <v>2023</v>
      </c>
      <c r="H163" s="13" t="str">
        <f t="shared" si="5"/>
        <v>Q1</v>
      </c>
      <c r="I163" s="1" t="s">
        <v>20</v>
      </c>
      <c r="J163" s="7" t="s">
        <v>21</v>
      </c>
      <c r="K163" s="7" t="s">
        <v>29</v>
      </c>
      <c r="L163" t="s">
        <v>43</v>
      </c>
      <c r="M163" s="9">
        <v>506.63</v>
      </c>
      <c r="N163" s="4">
        <v>7</v>
      </c>
      <c r="O163" s="12">
        <v>0</v>
      </c>
      <c r="P163" s="9">
        <v>53.07</v>
      </c>
      <c r="Q163" s="10">
        <f>Table1[[#This Row],[Profit]]/Table1[[#This Row],[Sales]]</f>
        <v>0.10475100171722954</v>
      </c>
      <c r="R163" t="str">
        <f>IF(Table1[[#This Row],[Profit Margin]]&gt;0,"profit","loss")</f>
        <v>profit</v>
      </c>
      <c r="S163" t="str">
        <f>IF(Table1[[#This Row],[Discount]]=0,"No Discount",IF(Table1[[#This Row],[Discount]]&lt;=0.2,"low",IF(Table1[[#This Row],[Discount]]&lt;=0.3,"medium","high")))</f>
        <v>No Discount</v>
      </c>
      <c r="T163" s="15" t="str">
        <f>IF(Table1[[#This Row],[Days]]&lt;=2,"faster",IF(Table1[[#This Row],[Days]]&lt;=4,"Normal","slow"))</f>
        <v>slow</v>
      </c>
    </row>
    <row r="164" spans="1:20" x14ac:dyDescent="0.25">
      <c r="A164" s="4" t="s">
        <v>197</v>
      </c>
      <c r="B164" s="1">
        <v>45186</v>
      </c>
      <c r="C164" s="1">
        <v>45190</v>
      </c>
      <c r="D164" s="13">
        <f>Table1[[#This Row],[Shipped date]]-Table1[[#This Row],[Order Date]]</f>
        <v>4</v>
      </c>
      <c r="E164" t="s">
        <v>25</v>
      </c>
      <c r="F164" s="13" t="str">
        <f>TEXT(Table1[[#This Row],[Order Date]],"MMMM")</f>
        <v>September</v>
      </c>
      <c r="G164" s="13">
        <f t="shared" si="4"/>
        <v>2023</v>
      </c>
      <c r="H164" s="13" t="str">
        <f t="shared" si="5"/>
        <v>Q3</v>
      </c>
      <c r="I164" s="1" t="s">
        <v>20</v>
      </c>
      <c r="J164" s="7" t="s">
        <v>15</v>
      </c>
      <c r="K164" s="7" t="s">
        <v>29</v>
      </c>
      <c r="L164" t="s">
        <v>45</v>
      </c>
      <c r="M164" s="9">
        <v>897.61</v>
      </c>
      <c r="N164" s="4">
        <v>2</v>
      </c>
      <c r="O164" s="12">
        <v>0</v>
      </c>
      <c r="P164" s="9">
        <v>73.5</v>
      </c>
      <c r="Q164" s="10">
        <f>Table1[[#This Row],[Profit]]/Table1[[#This Row],[Sales]]</f>
        <v>8.1884114481790532E-2</v>
      </c>
      <c r="R164" t="str">
        <f>IF(Table1[[#This Row],[Profit Margin]]&gt;0,"profit","loss")</f>
        <v>profit</v>
      </c>
      <c r="S164" t="str">
        <f>IF(Table1[[#This Row],[Discount]]=0,"No Discount",IF(Table1[[#This Row],[Discount]]&lt;=0.2,"low",IF(Table1[[#This Row],[Discount]]&lt;=0.3,"medium","high")))</f>
        <v>No Discount</v>
      </c>
      <c r="T164" s="15" t="str">
        <f>IF(Table1[[#This Row],[Days]]&lt;=2,"faster",IF(Table1[[#This Row],[Days]]&lt;=4,"Normal","slow"))</f>
        <v>Normal</v>
      </c>
    </row>
    <row r="165" spans="1:20" x14ac:dyDescent="0.25">
      <c r="A165" s="4" t="s">
        <v>198</v>
      </c>
      <c r="B165" s="1">
        <v>45261</v>
      </c>
      <c r="C165" s="1">
        <v>45268</v>
      </c>
      <c r="D165" s="13">
        <f>Table1[[#This Row],[Shipped date]]-Table1[[#This Row],[Order Date]]</f>
        <v>7</v>
      </c>
      <c r="E165" t="s">
        <v>13</v>
      </c>
      <c r="F165" s="13" t="str">
        <f>TEXT(Table1[[#This Row],[Order Date]],"MMMM")</f>
        <v>December</v>
      </c>
      <c r="G165" s="13">
        <f t="shared" si="4"/>
        <v>2023</v>
      </c>
      <c r="H165" s="13" t="str">
        <f t="shared" si="5"/>
        <v>Q4</v>
      </c>
      <c r="I165" s="1" t="s">
        <v>20</v>
      </c>
      <c r="J165" s="7" t="s">
        <v>15</v>
      </c>
      <c r="K165" s="7" t="s">
        <v>22</v>
      </c>
      <c r="L165" t="s">
        <v>35</v>
      </c>
      <c r="M165" s="9">
        <v>959.37</v>
      </c>
      <c r="N165" s="4">
        <v>6</v>
      </c>
      <c r="O165" s="12">
        <v>0.2</v>
      </c>
      <c r="P165" s="9">
        <v>-109.55</v>
      </c>
      <c r="Q165" s="10">
        <f>Table1[[#This Row],[Profit]]/Table1[[#This Row],[Sales]]</f>
        <v>-0.11418952020596849</v>
      </c>
      <c r="R165" t="str">
        <f>IF(Table1[[#This Row],[Profit Margin]]&gt;0,"profit","loss")</f>
        <v>loss</v>
      </c>
      <c r="S165" t="str">
        <f>IF(Table1[[#This Row],[Discount]]=0,"No Discount",IF(Table1[[#This Row],[Discount]]&lt;=0.2,"low",IF(Table1[[#This Row],[Discount]]&lt;=0.3,"medium","high")))</f>
        <v>low</v>
      </c>
      <c r="T165" s="15" t="str">
        <f>IF(Table1[[#This Row],[Days]]&lt;=2,"faster",IF(Table1[[#This Row],[Days]]&lt;=4,"Normal","slow"))</f>
        <v>slow</v>
      </c>
    </row>
    <row r="166" spans="1:20" x14ac:dyDescent="0.25">
      <c r="A166" s="4" t="s">
        <v>199</v>
      </c>
      <c r="B166" s="1">
        <v>45229</v>
      </c>
      <c r="C166" s="1">
        <v>45230</v>
      </c>
      <c r="D166" s="13">
        <f>Table1[[#This Row],[Shipped date]]-Table1[[#This Row],[Order Date]]</f>
        <v>1</v>
      </c>
      <c r="E166" t="s">
        <v>13</v>
      </c>
      <c r="F166" s="13" t="str">
        <f>TEXT(Table1[[#This Row],[Order Date]],"MMMM")</f>
        <v>October</v>
      </c>
      <c r="G166" s="13">
        <f t="shared" si="4"/>
        <v>2023</v>
      </c>
      <c r="H166" s="13" t="str">
        <f t="shared" si="5"/>
        <v>Q4</v>
      </c>
      <c r="I166" s="1" t="s">
        <v>20</v>
      </c>
      <c r="J166" s="7" t="s">
        <v>15</v>
      </c>
      <c r="K166" s="7" t="s">
        <v>22</v>
      </c>
      <c r="L166" t="s">
        <v>35</v>
      </c>
      <c r="M166" s="9">
        <v>332.93</v>
      </c>
      <c r="N166" s="4">
        <v>1</v>
      </c>
      <c r="O166" s="12">
        <v>0.1</v>
      </c>
      <c r="P166" s="9">
        <v>27.37</v>
      </c>
      <c r="Q166" s="10">
        <f>Table1[[#This Row],[Profit]]/Table1[[#This Row],[Sales]]</f>
        <v>8.2209473462890092E-2</v>
      </c>
      <c r="R166" t="str">
        <f>IF(Table1[[#This Row],[Profit Margin]]&gt;0,"profit","loss")</f>
        <v>profit</v>
      </c>
      <c r="S166" t="str">
        <f>IF(Table1[[#This Row],[Discount]]=0,"No Discount",IF(Table1[[#This Row],[Discount]]&lt;=0.2,"low",IF(Table1[[#This Row],[Discount]]&lt;=0.3,"medium","high")))</f>
        <v>low</v>
      </c>
      <c r="T166" s="15" t="str">
        <f>IF(Table1[[#This Row],[Days]]&lt;=2,"faster",IF(Table1[[#This Row],[Days]]&lt;=4,"Normal","slow"))</f>
        <v>faster</v>
      </c>
    </row>
    <row r="167" spans="1:20" x14ac:dyDescent="0.25">
      <c r="A167" s="4" t="s">
        <v>200</v>
      </c>
      <c r="B167" s="1">
        <v>44931</v>
      </c>
      <c r="C167" s="1">
        <v>44936</v>
      </c>
      <c r="D167" s="13">
        <f>Table1[[#This Row],[Shipped date]]-Table1[[#This Row],[Order Date]]</f>
        <v>5</v>
      </c>
      <c r="E167" t="s">
        <v>28</v>
      </c>
      <c r="F167" s="13" t="str">
        <f>TEXT(Table1[[#This Row],[Order Date]],"MMMM")</f>
        <v>January</v>
      </c>
      <c r="G167" s="13">
        <f t="shared" si="4"/>
        <v>2023</v>
      </c>
      <c r="H167" s="13" t="str">
        <f t="shared" si="5"/>
        <v>Q1</v>
      </c>
      <c r="I167" s="1" t="s">
        <v>14</v>
      </c>
      <c r="J167" s="7" t="s">
        <v>32</v>
      </c>
      <c r="K167" s="7" t="s">
        <v>22</v>
      </c>
      <c r="L167" t="s">
        <v>40</v>
      </c>
      <c r="M167" s="9">
        <v>492.87</v>
      </c>
      <c r="N167" s="4">
        <v>3</v>
      </c>
      <c r="O167" s="12">
        <v>0.1</v>
      </c>
      <c r="P167" s="9">
        <v>24.23</v>
      </c>
      <c r="Q167" s="10">
        <f>Table1[[#This Row],[Profit]]/Table1[[#This Row],[Sales]]</f>
        <v>4.9161036378761132E-2</v>
      </c>
      <c r="R167" t="str">
        <f>IF(Table1[[#This Row],[Profit Margin]]&gt;0,"profit","loss")</f>
        <v>profit</v>
      </c>
      <c r="S167" t="str">
        <f>IF(Table1[[#This Row],[Discount]]=0,"No Discount",IF(Table1[[#This Row],[Discount]]&lt;=0.2,"low",IF(Table1[[#This Row],[Discount]]&lt;=0.3,"medium","high")))</f>
        <v>low</v>
      </c>
      <c r="T167" s="15" t="str">
        <f>IF(Table1[[#This Row],[Days]]&lt;=2,"faster",IF(Table1[[#This Row],[Days]]&lt;=4,"Normal","slow"))</f>
        <v>slow</v>
      </c>
    </row>
    <row r="168" spans="1:20" x14ac:dyDescent="0.25">
      <c r="A168" s="4" t="s">
        <v>201</v>
      </c>
      <c r="B168" s="1">
        <v>44948</v>
      </c>
      <c r="C168" s="1">
        <v>44949</v>
      </c>
      <c r="D168" s="13">
        <f>Table1[[#This Row],[Shipped date]]-Table1[[#This Row],[Order Date]]</f>
        <v>1</v>
      </c>
      <c r="E168" t="s">
        <v>25</v>
      </c>
      <c r="F168" s="13" t="str">
        <f>TEXT(Table1[[#This Row],[Order Date]],"MMMM")</f>
        <v>January</v>
      </c>
      <c r="G168" s="13">
        <f t="shared" si="4"/>
        <v>2023</v>
      </c>
      <c r="H168" s="13" t="str">
        <f t="shared" si="5"/>
        <v>Q1</v>
      </c>
      <c r="I168" s="1" t="s">
        <v>14</v>
      </c>
      <c r="J168" s="7" t="s">
        <v>21</v>
      </c>
      <c r="K168" s="7" t="s">
        <v>16</v>
      </c>
      <c r="L168" t="s">
        <v>38</v>
      </c>
      <c r="M168" s="9">
        <v>459.48</v>
      </c>
      <c r="N168" s="4">
        <v>7</v>
      </c>
      <c r="O168" s="12">
        <v>0.2</v>
      </c>
      <c r="P168" s="9">
        <v>-23.78</v>
      </c>
      <c r="Q168" s="10">
        <f>Table1[[#This Row],[Profit]]/Table1[[#This Row],[Sales]]</f>
        <v>-5.1754156872986852E-2</v>
      </c>
      <c r="R168" t="str">
        <f>IF(Table1[[#This Row],[Profit Margin]]&gt;0,"profit","loss")</f>
        <v>loss</v>
      </c>
      <c r="S168" t="str">
        <f>IF(Table1[[#This Row],[Discount]]=0,"No Discount",IF(Table1[[#This Row],[Discount]]&lt;=0.2,"low",IF(Table1[[#This Row],[Discount]]&lt;=0.3,"medium","high")))</f>
        <v>low</v>
      </c>
      <c r="T168" s="15" t="str">
        <f>IF(Table1[[#This Row],[Days]]&lt;=2,"faster",IF(Table1[[#This Row],[Days]]&lt;=4,"Normal","slow"))</f>
        <v>faster</v>
      </c>
    </row>
    <row r="169" spans="1:20" x14ac:dyDescent="0.25">
      <c r="A169" s="4" t="s">
        <v>202</v>
      </c>
      <c r="B169" s="1">
        <v>45018</v>
      </c>
      <c r="C169" s="1">
        <v>45021</v>
      </c>
      <c r="D169" s="13">
        <f>Table1[[#This Row],[Shipped date]]-Table1[[#This Row],[Order Date]]</f>
        <v>3</v>
      </c>
      <c r="E169" t="s">
        <v>28</v>
      </c>
      <c r="F169" s="13" t="str">
        <f>TEXT(Table1[[#This Row],[Order Date]],"MMMM")</f>
        <v>April</v>
      </c>
      <c r="G169" s="13">
        <f t="shared" si="4"/>
        <v>2023</v>
      </c>
      <c r="H169" s="13" t="str">
        <f t="shared" si="5"/>
        <v>Q2</v>
      </c>
      <c r="I169" s="1" t="s">
        <v>37</v>
      </c>
      <c r="J169" s="7" t="s">
        <v>21</v>
      </c>
      <c r="K169" s="7" t="s">
        <v>22</v>
      </c>
      <c r="L169" t="s">
        <v>35</v>
      </c>
      <c r="M169" s="9">
        <v>562.63</v>
      </c>
      <c r="N169" s="4">
        <v>6</v>
      </c>
      <c r="O169" s="12">
        <v>0</v>
      </c>
      <c r="P169" s="9">
        <v>88.93</v>
      </c>
      <c r="Q169" s="10">
        <f>Table1[[#This Row],[Profit]]/Table1[[#This Row],[Sales]]</f>
        <v>0.15806124806711339</v>
      </c>
      <c r="R169" t="str">
        <f>IF(Table1[[#This Row],[Profit Margin]]&gt;0,"profit","loss")</f>
        <v>profit</v>
      </c>
      <c r="S169" t="str">
        <f>IF(Table1[[#This Row],[Discount]]=0,"No Discount",IF(Table1[[#This Row],[Discount]]&lt;=0.2,"low",IF(Table1[[#This Row],[Discount]]&lt;=0.3,"medium","high")))</f>
        <v>No Discount</v>
      </c>
      <c r="T169" s="15" t="str">
        <f>IF(Table1[[#This Row],[Days]]&lt;=2,"faster",IF(Table1[[#This Row],[Days]]&lt;=4,"Normal","slow"))</f>
        <v>Normal</v>
      </c>
    </row>
    <row r="170" spans="1:20" x14ac:dyDescent="0.25">
      <c r="A170" s="4" t="s">
        <v>203</v>
      </c>
      <c r="B170" s="1">
        <v>45197</v>
      </c>
      <c r="C170" s="1">
        <v>45202</v>
      </c>
      <c r="D170" s="13">
        <f>Table1[[#This Row],[Shipped date]]-Table1[[#This Row],[Order Date]]</f>
        <v>5</v>
      </c>
      <c r="E170" t="s">
        <v>25</v>
      </c>
      <c r="F170" s="13" t="str">
        <f>TEXT(Table1[[#This Row],[Order Date]],"MMMM")</f>
        <v>September</v>
      </c>
      <c r="G170" s="13">
        <f t="shared" si="4"/>
        <v>2023</v>
      </c>
      <c r="H170" s="13" t="str">
        <f t="shared" si="5"/>
        <v>Q3</v>
      </c>
      <c r="I170" s="1" t="s">
        <v>14</v>
      </c>
      <c r="J170" s="7" t="s">
        <v>26</v>
      </c>
      <c r="K170" s="7" t="s">
        <v>29</v>
      </c>
      <c r="L170" t="s">
        <v>30</v>
      </c>
      <c r="M170" s="9">
        <v>795.75</v>
      </c>
      <c r="N170" s="4">
        <v>5</v>
      </c>
      <c r="O170" s="12">
        <v>0</v>
      </c>
      <c r="P170" s="9">
        <v>67.52</v>
      </c>
      <c r="Q170" s="10">
        <f>Table1[[#This Row],[Profit]]/Table1[[#This Row],[Sales]]</f>
        <v>8.4850769714106183E-2</v>
      </c>
      <c r="R170" t="str">
        <f>IF(Table1[[#This Row],[Profit Margin]]&gt;0,"profit","loss")</f>
        <v>profit</v>
      </c>
      <c r="S170" t="str">
        <f>IF(Table1[[#This Row],[Discount]]=0,"No Discount",IF(Table1[[#This Row],[Discount]]&lt;=0.2,"low",IF(Table1[[#This Row],[Discount]]&lt;=0.3,"medium","high")))</f>
        <v>No Discount</v>
      </c>
      <c r="T170" s="15" t="str">
        <f>IF(Table1[[#This Row],[Days]]&lt;=2,"faster",IF(Table1[[#This Row],[Days]]&lt;=4,"Normal","slow"))</f>
        <v>slow</v>
      </c>
    </row>
    <row r="171" spans="1:20" x14ac:dyDescent="0.25">
      <c r="A171" s="4" t="s">
        <v>204</v>
      </c>
      <c r="B171" s="1">
        <v>45242</v>
      </c>
      <c r="C171" s="1">
        <v>45248</v>
      </c>
      <c r="D171" s="13">
        <f>Table1[[#This Row],[Shipped date]]-Table1[[#This Row],[Order Date]]</f>
        <v>6</v>
      </c>
      <c r="E171" t="s">
        <v>25</v>
      </c>
      <c r="F171" s="13" t="str">
        <f>TEXT(Table1[[#This Row],[Order Date]],"MMMM")</f>
        <v>November</v>
      </c>
      <c r="G171" s="13">
        <f t="shared" si="4"/>
        <v>2023</v>
      </c>
      <c r="H171" s="13" t="str">
        <f t="shared" si="5"/>
        <v>Q4</v>
      </c>
      <c r="I171" s="1" t="s">
        <v>20</v>
      </c>
      <c r="J171" s="7" t="s">
        <v>32</v>
      </c>
      <c r="K171" s="7" t="s">
        <v>29</v>
      </c>
      <c r="L171" t="s">
        <v>45</v>
      </c>
      <c r="M171" s="9">
        <v>932.31</v>
      </c>
      <c r="N171" s="4">
        <v>8</v>
      </c>
      <c r="O171" s="12">
        <v>0.1</v>
      </c>
      <c r="P171" s="9">
        <v>-15.97</v>
      </c>
      <c r="Q171" s="10">
        <f>Table1[[#This Row],[Profit]]/Table1[[#This Row],[Sales]]</f>
        <v>-1.7129495554053912E-2</v>
      </c>
      <c r="R171" t="str">
        <f>IF(Table1[[#This Row],[Profit Margin]]&gt;0,"profit","loss")</f>
        <v>loss</v>
      </c>
      <c r="S171" t="str">
        <f>IF(Table1[[#This Row],[Discount]]=0,"No Discount",IF(Table1[[#This Row],[Discount]]&lt;=0.2,"low",IF(Table1[[#This Row],[Discount]]&lt;=0.3,"medium","high")))</f>
        <v>low</v>
      </c>
      <c r="T171" s="15" t="str">
        <f>IF(Table1[[#This Row],[Days]]&lt;=2,"faster",IF(Table1[[#This Row],[Days]]&lt;=4,"Normal","slow"))</f>
        <v>slow</v>
      </c>
    </row>
    <row r="172" spans="1:20" x14ac:dyDescent="0.25">
      <c r="A172" s="4" t="s">
        <v>205</v>
      </c>
      <c r="B172" s="1">
        <v>45285</v>
      </c>
      <c r="C172" s="1">
        <v>45287</v>
      </c>
      <c r="D172" s="13">
        <f>Table1[[#This Row],[Shipped date]]-Table1[[#This Row],[Order Date]]</f>
        <v>2</v>
      </c>
      <c r="E172" t="s">
        <v>19</v>
      </c>
      <c r="F172" s="13" t="str">
        <f>TEXT(Table1[[#This Row],[Order Date]],"MMMM")</f>
        <v>December</v>
      </c>
      <c r="G172" s="13">
        <f t="shared" si="4"/>
        <v>2023</v>
      </c>
      <c r="H172" s="13" t="str">
        <f t="shared" si="5"/>
        <v>Q4</v>
      </c>
      <c r="I172" s="1" t="s">
        <v>20</v>
      </c>
      <c r="J172" s="7" t="s">
        <v>21</v>
      </c>
      <c r="K172" s="7" t="s">
        <v>22</v>
      </c>
      <c r="L172" t="s">
        <v>23</v>
      </c>
      <c r="M172" s="9">
        <v>558.54</v>
      </c>
      <c r="N172" s="4">
        <v>3</v>
      </c>
      <c r="O172" s="12">
        <v>0</v>
      </c>
      <c r="P172" s="9">
        <v>87.45</v>
      </c>
      <c r="Q172" s="10">
        <f>Table1[[#This Row],[Profit]]/Table1[[#This Row],[Sales]]</f>
        <v>0.15656891180577936</v>
      </c>
      <c r="R172" t="str">
        <f>IF(Table1[[#This Row],[Profit Margin]]&gt;0,"profit","loss")</f>
        <v>profit</v>
      </c>
      <c r="S172" t="str">
        <f>IF(Table1[[#This Row],[Discount]]=0,"No Discount",IF(Table1[[#This Row],[Discount]]&lt;=0.2,"low",IF(Table1[[#This Row],[Discount]]&lt;=0.3,"medium","high")))</f>
        <v>No Discount</v>
      </c>
      <c r="T172" s="15" t="str">
        <f>IF(Table1[[#This Row],[Days]]&lt;=2,"faster",IF(Table1[[#This Row],[Days]]&lt;=4,"Normal","slow"))</f>
        <v>faster</v>
      </c>
    </row>
    <row r="173" spans="1:20" x14ac:dyDescent="0.25">
      <c r="A173" s="4" t="s">
        <v>206</v>
      </c>
      <c r="B173" s="1">
        <v>45186</v>
      </c>
      <c r="C173" s="1">
        <v>45187</v>
      </c>
      <c r="D173" s="13">
        <f>Table1[[#This Row],[Shipped date]]-Table1[[#This Row],[Order Date]]</f>
        <v>1</v>
      </c>
      <c r="E173" t="s">
        <v>13</v>
      </c>
      <c r="F173" s="13" t="str">
        <f>TEXT(Table1[[#This Row],[Order Date]],"MMMM")</f>
        <v>September</v>
      </c>
      <c r="G173" s="13">
        <f t="shared" si="4"/>
        <v>2023</v>
      </c>
      <c r="H173" s="13" t="str">
        <f t="shared" si="5"/>
        <v>Q3</v>
      </c>
      <c r="I173" s="1" t="s">
        <v>14</v>
      </c>
      <c r="J173" s="7" t="s">
        <v>26</v>
      </c>
      <c r="K173" s="7" t="s">
        <v>22</v>
      </c>
      <c r="L173" t="s">
        <v>23</v>
      </c>
      <c r="M173" s="9">
        <v>555</v>
      </c>
      <c r="N173" s="4">
        <v>4</v>
      </c>
      <c r="O173" s="12">
        <v>0.2</v>
      </c>
      <c r="P173" s="9">
        <v>-67.31</v>
      </c>
      <c r="Q173" s="10">
        <f>Table1[[#This Row],[Profit]]/Table1[[#This Row],[Sales]]</f>
        <v>-0.12127927927927928</v>
      </c>
      <c r="R173" t="str">
        <f>IF(Table1[[#This Row],[Profit Margin]]&gt;0,"profit","loss")</f>
        <v>loss</v>
      </c>
      <c r="S173" t="str">
        <f>IF(Table1[[#This Row],[Discount]]=0,"No Discount",IF(Table1[[#This Row],[Discount]]&lt;=0.2,"low",IF(Table1[[#This Row],[Discount]]&lt;=0.3,"medium","high")))</f>
        <v>low</v>
      </c>
      <c r="T173" s="15" t="str">
        <f>IF(Table1[[#This Row],[Days]]&lt;=2,"faster",IF(Table1[[#This Row],[Days]]&lt;=4,"Normal","slow"))</f>
        <v>faster</v>
      </c>
    </row>
    <row r="174" spans="1:20" x14ac:dyDescent="0.25">
      <c r="A174" s="4" t="s">
        <v>207</v>
      </c>
      <c r="B174" s="1">
        <v>45172</v>
      </c>
      <c r="C174" s="1">
        <v>45179</v>
      </c>
      <c r="D174" s="13">
        <f>Table1[[#This Row],[Shipped date]]-Table1[[#This Row],[Order Date]]</f>
        <v>7</v>
      </c>
      <c r="E174" t="s">
        <v>28</v>
      </c>
      <c r="F174" s="13" t="str">
        <f>TEXT(Table1[[#This Row],[Order Date]],"MMMM")</f>
        <v>September</v>
      </c>
      <c r="G174" s="13">
        <f t="shared" si="4"/>
        <v>2023</v>
      </c>
      <c r="H174" s="13" t="str">
        <f t="shared" si="5"/>
        <v>Q3</v>
      </c>
      <c r="I174" s="1" t="s">
        <v>37</v>
      </c>
      <c r="J174" s="7" t="s">
        <v>21</v>
      </c>
      <c r="K174" s="7" t="s">
        <v>29</v>
      </c>
      <c r="L174" t="s">
        <v>45</v>
      </c>
      <c r="M174" s="9">
        <v>160.13</v>
      </c>
      <c r="N174" s="4">
        <v>5</v>
      </c>
      <c r="O174" s="12">
        <v>0.1</v>
      </c>
      <c r="P174" s="9">
        <v>38.590000000000003</v>
      </c>
      <c r="Q174" s="10">
        <f>Table1[[#This Row],[Profit]]/Table1[[#This Row],[Sales]]</f>
        <v>0.24099169424842318</v>
      </c>
      <c r="R174" t="str">
        <f>IF(Table1[[#This Row],[Profit Margin]]&gt;0,"profit","loss")</f>
        <v>profit</v>
      </c>
      <c r="S174" t="str">
        <f>IF(Table1[[#This Row],[Discount]]=0,"No Discount",IF(Table1[[#This Row],[Discount]]&lt;=0.2,"low",IF(Table1[[#This Row],[Discount]]&lt;=0.3,"medium","high")))</f>
        <v>low</v>
      </c>
      <c r="T174" s="15" t="str">
        <f>IF(Table1[[#This Row],[Days]]&lt;=2,"faster",IF(Table1[[#This Row],[Days]]&lt;=4,"Normal","slow"))</f>
        <v>slow</v>
      </c>
    </row>
    <row r="175" spans="1:20" x14ac:dyDescent="0.25">
      <c r="A175" s="4" t="s">
        <v>208</v>
      </c>
      <c r="B175" s="1">
        <v>45147</v>
      </c>
      <c r="C175" s="1">
        <v>45154</v>
      </c>
      <c r="D175" s="13">
        <f>Table1[[#This Row],[Shipped date]]-Table1[[#This Row],[Order Date]]</f>
        <v>7</v>
      </c>
      <c r="E175" t="s">
        <v>13</v>
      </c>
      <c r="F175" s="13" t="str">
        <f>TEXT(Table1[[#This Row],[Order Date]],"MMMM")</f>
        <v>August</v>
      </c>
      <c r="G175" s="13">
        <f t="shared" si="4"/>
        <v>2023</v>
      </c>
      <c r="H175" s="13" t="str">
        <f t="shared" si="5"/>
        <v>Q3</v>
      </c>
      <c r="I175" s="1" t="s">
        <v>14</v>
      </c>
      <c r="J175" s="7" t="s">
        <v>26</v>
      </c>
      <c r="K175" s="7" t="s">
        <v>16</v>
      </c>
      <c r="L175" t="s">
        <v>33</v>
      </c>
      <c r="M175" s="9">
        <v>869.53</v>
      </c>
      <c r="N175" s="4">
        <v>9</v>
      </c>
      <c r="O175" s="12">
        <v>0.1</v>
      </c>
      <c r="P175" s="9">
        <v>-14.11</v>
      </c>
      <c r="Q175" s="10">
        <f>Table1[[#This Row],[Profit]]/Table1[[#This Row],[Sales]]</f>
        <v>-1.6227157199866594E-2</v>
      </c>
      <c r="R175" t="str">
        <f>IF(Table1[[#This Row],[Profit Margin]]&gt;0,"profit","loss")</f>
        <v>loss</v>
      </c>
      <c r="S175" t="str">
        <f>IF(Table1[[#This Row],[Discount]]=0,"No Discount",IF(Table1[[#This Row],[Discount]]&lt;=0.2,"low",IF(Table1[[#This Row],[Discount]]&lt;=0.3,"medium","high")))</f>
        <v>low</v>
      </c>
      <c r="T175" s="15" t="str">
        <f>IF(Table1[[#This Row],[Days]]&lt;=2,"faster",IF(Table1[[#This Row],[Days]]&lt;=4,"Normal","slow"))</f>
        <v>slow</v>
      </c>
    </row>
    <row r="176" spans="1:20" x14ac:dyDescent="0.25">
      <c r="A176" s="4" t="s">
        <v>209</v>
      </c>
      <c r="B176" s="1">
        <v>45014</v>
      </c>
      <c r="C176" s="1">
        <v>45016</v>
      </c>
      <c r="D176" s="13">
        <f>Table1[[#This Row],[Shipped date]]-Table1[[#This Row],[Order Date]]</f>
        <v>2</v>
      </c>
      <c r="E176" t="s">
        <v>25</v>
      </c>
      <c r="F176" s="13" t="str">
        <f>TEXT(Table1[[#This Row],[Order Date]],"MMMM")</f>
        <v>March</v>
      </c>
      <c r="G176" s="13">
        <f t="shared" si="4"/>
        <v>2023</v>
      </c>
      <c r="H176" s="13" t="str">
        <f t="shared" si="5"/>
        <v>Q1</v>
      </c>
      <c r="I176" s="1" t="s">
        <v>37</v>
      </c>
      <c r="J176" s="7" t="s">
        <v>26</v>
      </c>
      <c r="K176" s="7" t="s">
        <v>16</v>
      </c>
      <c r="L176" t="s">
        <v>33</v>
      </c>
      <c r="M176" s="9">
        <v>706.95</v>
      </c>
      <c r="N176" s="4">
        <v>8</v>
      </c>
      <c r="O176" s="12">
        <v>0.1</v>
      </c>
      <c r="P176" s="9">
        <v>7.77</v>
      </c>
      <c r="Q176" s="10">
        <f>Table1[[#This Row],[Profit]]/Table1[[#This Row],[Sales]]</f>
        <v>1.0990876299596858E-2</v>
      </c>
      <c r="R176" t="str">
        <f>IF(Table1[[#This Row],[Profit Margin]]&gt;0,"profit","loss")</f>
        <v>profit</v>
      </c>
      <c r="S176" t="str">
        <f>IF(Table1[[#This Row],[Discount]]=0,"No Discount",IF(Table1[[#This Row],[Discount]]&lt;=0.2,"low",IF(Table1[[#This Row],[Discount]]&lt;=0.3,"medium","high")))</f>
        <v>low</v>
      </c>
      <c r="T176" s="15" t="str">
        <f>IF(Table1[[#This Row],[Days]]&lt;=2,"faster",IF(Table1[[#This Row],[Days]]&lt;=4,"Normal","slow"))</f>
        <v>faster</v>
      </c>
    </row>
    <row r="177" spans="1:20" x14ac:dyDescent="0.25">
      <c r="A177" s="4" t="s">
        <v>210</v>
      </c>
      <c r="B177" s="1">
        <v>45262</v>
      </c>
      <c r="C177" s="1">
        <v>45265</v>
      </c>
      <c r="D177" s="13">
        <f>Table1[[#This Row],[Shipped date]]-Table1[[#This Row],[Order Date]]</f>
        <v>3</v>
      </c>
      <c r="E177" t="s">
        <v>19</v>
      </c>
      <c r="F177" s="13" t="str">
        <f>TEXT(Table1[[#This Row],[Order Date]],"MMMM")</f>
        <v>December</v>
      </c>
      <c r="G177" s="13">
        <f t="shared" si="4"/>
        <v>2023</v>
      </c>
      <c r="H177" s="13" t="str">
        <f t="shared" si="5"/>
        <v>Q4</v>
      </c>
      <c r="I177" s="1" t="s">
        <v>14</v>
      </c>
      <c r="J177" s="7" t="s">
        <v>15</v>
      </c>
      <c r="K177" s="7" t="s">
        <v>16</v>
      </c>
      <c r="L177" t="s">
        <v>38</v>
      </c>
      <c r="M177" s="9">
        <v>894.06</v>
      </c>
      <c r="N177" s="4">
        <v>5</v>
      </c>
      <c r="O177" s="12">
        <v>0.1</v>
      </c>
      <c r="P177" s="9">
        <v>-14.31</v>
      </c>
      <c r="Q177" s="10">
        <f>Table1[[#This Row],[Profit]]/Table1[[#This Row],[Sales]]</f>
        <v>-1.6005637205556675E-2</v>
      </c>
      <c r="R177" t="str">
        <f>IF(Table1[[#This Row],[Profit Margin]]&gt;0,"profit","loss")</f>
        <v>loss</v>
      </c>
      <c r="S177" t="str">
        <f>IF(Table1[[#This Row],[Discount]]=0,"No Discount",IF(Table1[[#This Row],[Discount]]&lt;=0.2,"low",IF(Table1[[#This Row],[Discount]]&lt;=0.3,"medium","high")))</f>
        <v>low</v>
      </c>
      <c r="T177" s="15" t="str">
        <f>IF(Table1[[#This Row],[Days]]&lt;=2,"faster",IF(Table1[[#This Row],[Days]]&lt;=4,"Normal","slow"))</f>
        <v>Normal</v>
      </c>
    </row>
    <row r="178" spans="1:20" x14ac:dyDescent="0.25">
      <c r="A178" s="4" t="s">
        <v>211</v>
      </c>
      <c r="B178" s="1">
        <v>45003</v>
      </c>
      <c r="C178" s="1">
        <v>45005</v>
      </c>
      <c r="D178" s="13">
        <f>Table1[[#This Row],[Shipped date]]-Table1[[#This Row],[Order Date]]</f>
        <v>2</v>
      </c>
      <c r="E178" t="s">
        <v>28</v>
      </c>
      <c r="F178" s="13" t="str">
        <f>TEXT(Table1[[#This Row],[Order Date]],"MMMM")</f>
        <v>March</v>
      </c>
      <c r="G178" s="13">
        <f t="shared" si="4"/>
        <v>2023</v>
      </c>
      <c r="H178" s="13" t="str">
        <f t="shared" si="5"/>
        <v>Q1</v>
      </c>
      <c r="I178" s="1" t="s">
        <v>37</v>
      </c>
      <c r="J178" s="7" t="s">
        <v>21</v>
      </c>
      <c r="K178" s="7" t="s">
        <v>16</v>
      </c>
      <c r="L178" t="s">
        <v>38</v>
      </c>
      <c r="M178" s="9">
        <v>103.14</v>
      </c>
      <c r="N178" s="4">
        <v>8</v>
      </c>
      <c r="O178" s="12">
        <v>0.2</v>
      </c>
      <c r="P178" s="9">
        <v>10.38</v>
      </c>
      <c r="Q178" s="10">
        <f>Table1[[#This Row],[Profit]]/Table1[[#This Row],[Sales]]</f>
        <v>0.10063990692262945</v>
      </c>
      <c r="R178" t="str">
        <f>IF(Table1[[#This Row],[Profit Margin]]&gt;0,"profit","loss")</f>
        <v>profit</v>
      </c>
      <c r="S178" t="str">
        <f>IF(Table1[[#This Row],[Discount]]=0,"No Discount",IF(Table1[[#This Row],[Discount]]&lt;=0.2,"low",IF(Table1[[#This Row],[Discount]]&lt;=0.3,"medium","high")))</f>
        <v>low</v>
      </c>
      <c r="T178" s="15" t="str">
        <f>IF(Table1[[#This Row],[Days]]&lt;=2,"faster",IF(Table1[[#This Row],[Days]]&lt;=4,"Normal","slow"))</f>
        <v>faster</v>
      </c>
    </row>
    <row r="179" spans="1:20" x14ac:dyDescent="0.25">
      <c r="A179" s="4" t="s">
        <v>212</v>
      </c>
      <c r="B179" s="1">
        <v>45142</v>
      </c>
      <c r="C179" s="1">
        <v>45144</v>
      </c>
      <c r="D179" s="13">
        <f>Table1[[#This Row],[Shipped date]]-Table1[[#This Row],[Order Date]]</f>
        <v>2</v>
      </c>
      <c r="E179" t="s">
        <v>19</v>
      </c>
      <c r="F179" s="13" t="str">
        <f>TEXT(Table1[[#This Row],[Order Date]],"MMMM")</f>
        <v>August</v>
      </c>
      <c r="G179" s="13">
        <f t="shared" si="4"/>
        <v>2023</v>
      </c>
      <c r="H179" s="13" t="str">
        <f t="shared" si="5"/>
        <v>Q3</v>
      </c>
      <c r="I179" s="1" t="s">
        <v>20</v>
      </c>
      <c r="J179" s="7" t="s">
        <v>26</v>
      </c>
      <c r="K179" s="7" t="s">
        <v>16</v>
      </c>
      <c r="L179" t="s">
        <v>38</v>
      </c>
      <c r="M179" s="9">
        <v>865.88</v>
      </c>
      <c r="N179" s="4">
        <v>3</v>
      </c>
      <c r="O179" s="12">
        <v>0.1</v>
      </c>
      <c r="P179" s="9">
        <v>36.9</v>
      </c>
      <c r="Q179" s="10">
        <f>Table1[[#This Row],[Profit]]/Table1[[#This Row],[Sales]]</f>
        <v>4.2615604933709056E-2</v>
      </c>
      <c r="R179" t="str">
        <f>IF(Table1[[#This Row],[Profit Margin]]&gt;0,"profit","loss")</f>
        <v>profit</v>
      </c>
      <c r="S179" t="str">
        <f>IF(Table1[[#This Row],[Discount]]=0,"No Discount",IF(Table1[[#This Row],[Discount]]&lt;=0.2,"low",IF(Table1[[#This Row],[Discount]]&lt;=0.3,"medium","high")))</f>
        <v>low</v>
      </c>
      <c r="T179" s="15" t="str">
        <f>IF(Table1[[#This Row],[Days]]&lt;=2,"faster",IF(Table1[[#This Row],[Days]]&lt;=4,"Normal","slow"))</f>
        <v>faster</v>
      </c>
    </row>
    <row r="180" spans="1:20" x14ac:dyDescent="0.25">
      <c r="A180" s="4" t="s">
        <v>213</v>
      </c>
      <c r="B180" s="1">
        <v>45073</v>
      </c>
      <c r="C180" s="1">
        <v>45079</v>
      </c>
      <c r="D180" s="13">
        <f>Table1[[#This Row],[Shipped date]]-Table1[[#This Row],[Order Date]]</f>
        <v>6</v>
      </c>
      <c r="E180" t="s">
        <v>13</v>
      </c>
      <c r="F180" s="13" t="str">
        <f>TEXT(Table1[[#This Row],[Order Date]],"MMMM")</f>
        <v>May</v>
      </c>
      <c r="G180" s="13">
        <f t="shared" si="4"/>
        <v>2023</v>
      </c>
      <c r="H180" s="13" t="str">
        <f t="shared" si="5"/>
        <v>Q2</v>
      </c>
      <c r="I180" s="1" t="s">
        <v>14</v>
      </c>
      <c r="J180" s="7" t="s">
        <v>15</v>
      </c>
      <c r="K180" s="7" t="s">
        <v>22</v>
      </c>
      <c r="L180" t="s">
        <v>40</v>
      </c>
      <c r="M180" s="9">
        <v>948.3</v>
      </c>
      <c r="N180" s="4">
        <v>6</v>
      </c>
      <c r="O180" s="12">
        <v>0</v>
      </c>
      <c r="P180" s="9">
        <v>116.26</v>
      </c>
      <c r="Q180" s="10">
        <f>Table1[[#This Row],[Profit]]/Table1[[#This Row],[Sales]]</f>
        <v>0.12259833386059266</v>
      </c>
      <c r="R180" t="str">
        <f>IF(Table1[[#This Row],[Profit Margin]]&gt;0,"profit","loss")</f>
        <v>profit</v>
      </c>
      <c r="S180" t="str">
        <f>IF(Table1[[#This Row],[Discount]]=0,"No Discount",IF(Table1[[#This Row],[Discount]]&lt;=0.2,"low",IF(Table1[[#This Row],[Discount]]&lt;=0.3,"medium","high")))</f>
        <v>No Discount</v>
      </c>
      <c r="T180" s="15" t="str">
        <f>IF(Table1[[#This Row],[Days]]&lt;=2,"faster",IF(Table1[[#This Row],[Days]]&lt;=4,"Normal","slow"))</f>
        <v>slow</v>
      </c>
    </row>
    <row r="181" spans="1:20" x14ac:dyDescent="0.25">
      <c r="A181" s="4" t="s">
        <v>214</v>
      </c>
      <c r="B181" s="1">
        <v>45116</v>
      </c>
      <c r="C181" s="1">
        <v>45121</v>
      </c>
      <c r="D181" s="13">
        <f>Table1[[#This Row],[Shipped date]]-Table1[[#This Row],[Order Date]]</f>
        <v>5</v>
      </c>
      <c r="E181" t="s">
        <v>25</v>
      </c>
      <c r="F181" s="13" t="str">
        <f>TEXT(Table1[[#This Row],[Order Date]],"MMMM")</f>
        <v>July</v>
      </c>
      <c r="G181" s="13">
        <f t="shared" si="4"/>
        <v>2023</v>
      </c>
      <c r="H181" s="13" t="str">
        <f t="shared" si="5"/>
        <v>Q3</v>
      </c>
      <c r="I181" s="1" t="s">
        <v>20</v>
      </c>
      <c r="J181" s="7" t="s">
        <v>26</v>
      </c>
      <c r="K181" s="7" t="s">
        <v>16</v>
      </c>
      <c r="L181" t="s">
        <v>38</v>
      </c>
      <c r="M181" s="9">
        <v>363.21</v>
      </c>
      <c r="N181" s="4">
        <v>5</v>
      </c>
      <c r="O181" s="12">
        <v>0.3</v>
      </c>
      <c r="P181" s="9">
        <v>-86.8</v>
      </c>
      <c r="Q181" s="10">
        <f>Table1[[#This Row],[Profit]]/Table1[[#This Row],[Sales]]</f>
        <v>-0.23898020428952949</v>
      </c>
      <c r="R181" t="str">
        <f>IF(Table1[[#This Row],[Profit Margin]]&gt;0,"profit","loss")</f>
        <v>loss</v>
      </c>
      <c r="S181" t="str">
        <f>IF(Table1[[#This Row],[Discount]]=0,"No Discount",IF(Table1[[#This Row],[Discount]]&lt;=0.2,"low",IF(Table1[[#This Row],[Discount]]&lt;=0.3,"medium","high")))</f>
        <v>medium</v>
      </c>
      <c r="T181" s="15" t="str">
        <f>IF(Table1[[#This Row],[Days]]&lt;=2,"faster",IF(Table1[[#This Row],[Days]]&lt;=4,"Normal","slow"))</f>
        <v>slow</v>
      </c>
    </row>
    <row r="182" spans="1:20" x14ac:dyDescent="0.25">
      <c r="A182" s="4" t="s">
        <v>215</v>
      </c>
      <c r="B182" s="1">
        <v>45022</v>
      </c>
      <c r="C182" s="1">
        <v>45023</v>
      </c>
      <c r="D182" s="13">
        <f>Table1[[#This Row],[Shipped date]]-Table1[[#This Row],[Order Date]]</f>
        <v>1</v>
      </c>
      <c r="E182" t="s">
        <v>13</v>
      </c>
      <c r="F182" s="13" t="str">
        <f>TEXT(Table1[[#This Row],[Order Date]],"MMMM")</f>
        <v>April</v>
      </c>
      <c r="G182" s="13">
        <f t="shared" si="4"/>
        <v>2023</v>
      </c>
      <c r="H182" s="13" t="str">
        <f t="shared" si="5"/>
        <v>Q2</v>
      </c>
      <c r="I182" s="1" t="s">
        <v>37</v>
      </c>
      <c r="J182" s="7" t="s">
        <v>15</v>
      </c>
      <c r="K182" s="7" t="s">
        <v>22</v>
      </c>
      <c r="L182" t="s">
        <v>35</v>
      </c>
      <c r="M182" s="9">
        <v>781.6</v>
      </c>
      <c r="N182" s="4">
        <v>5</v>
      </c>
      <c r="O182" s="12">
        <v>0.1</v>
      </c>
      <c r="P182" s="9">
        <v>29.36</v>
      </c>
      <c r="Q182" s="10">
        <f>Table1[[#This Row],[Profit]]/Table1[[#This Row],[Sales]]</f>
        <v>3.7563971340839303E-2</v>
      </c>
      <c r="R182" t="str">
        <f>IF(Table1[[#This Row],[Profit Margin]]&gt;0,"profit","loss")</f>
        <v>profit</v>
      </c>
      <c r="S182" t="str">
        <f>IF(Table1[[#This Row],[Discount]]=0,"No Discount",IF(Table1[[#This Row],[Discount]]&lt;=0.2,"low",IF(Table1[[#This Row],[Discount]]&lt;=0.3,"medium","high")))</f>
        <v>low</v>
      </c>
      <c r="T182" s="15" t="str">
        <f>IF(Table1[[#This Row],[Days]]&lt;=2,"faster",IF(Table1[[#This Row],[Days]]&lt;=4,"Normal","slow"))</f>
        <v>faster</v>
      </c>
    </row>
    <row r="183" spans="1:20" x14ac:dyDescent="0.25">
      <c r="A183" s="4" t="s">
        <v>216</v>
      </c>
      <c r="B183" s="1">
        <v>45256</v>
      </c>
      <c r="C183" s="1">
        <v>45262</v>
      </c>
      <c r="D183" s="13">
        <f>Table1[[#This Row],[Shipped date]]-Table1[[#This Row],[Order Date]]</f>
        <v>6</v>
      </c>
      <c r="E183" t="s">
        <v>25</v>
      </c>
      <c r="F183" s="13" t="str">
        <f>TEXT(Table1[[#This Row],[Order Date]],"MMMM")</f>
        <v>November</v>
      </c>
      <c r="G183" s="13">
        <f t="shared" si="4"/>
        <v>2023</v>
      </c>
      <c r="H183" s="13" t="str">
        <f t="shared" si="5"/>
        <v>Q4</v>
      </c>
      <c r="I183" s="1" t="s">
        <v>20</v>
      </c>
      <c r="J183" s="7" t="s">
        <v>26</v>
      </c>
      <c r="K183" s="7" t="s">
        <v>29</v>
      </c>
      <c r="L183" t="s">
        <v>45</v>
      </c>
      <c r="M183" s="9">
        <v>263.75</v>
      </c>
      <c r="N183" s="4">
        <v>8</v>
      </c>
      <c r="O183" s="12">
        <v>0.2</v>
      </c>
      <c r="P183" s="9">
        <v>-38.590000000000003</v>
      </c>
      <c r="Q183" s="10">
        <f>Table1[[#This Row],[Profit]]/Table1[[#This Row],[Sales]]</f>
        <v>-0.14631279620853083</v>
      </c>
      <c r="R183" t="str">
        <f>IF(Table1[[#This Row],[Profit Margin]]&gt;0,"profit","loss")</f>
        <v>loss</v>
      </c>
      <c r="S183" t="str">
        <f>IF(Table1[[#This Row],[Discount]]=0,"No Discount",IF(Table1[[#This Row],[Discount]]&lt;=0.2,"low",IF(Table1[[#This Row],[Discount]]&lt;=0.3,"medium","high")))</f>
        <v>low</v>
      </c>
      <c r="T183" s="15" t="str">
        <f>IF(Table1[[#This Row],[Days]]&lt;=2,"faster",IF(Table1[[#This Row],[Days]]&lt;=4,"Normal","slow"))</f>
        <v>slow</v>
      </c>
    </row>
    <row r="184" spans="1:20" x14ac:dyDescent="0.25">
      <c r="A184" s="4" t="s">
        <v>217</v>
      </c>
      <c r="B184" s="1">
        <v>44955</v>
      </c>
      <c r="C184" s="1">
        <v>44956</v>
      </c>
      <c r="D184" s="13">
        <f>Table1[[#This Row],[Shipped date]]-Table1[[#This Row],[Order Date]]</f>
        <v>1</v>
      </c>
      <c r="E184" t="s">
        <v>13</v>
      </c>
      <c r="F184" s="13" t="str">
        <f>TEXT(Table1[[#This Row],[Order Date]],"MMMM")</f>
        <v>January</v>
      </c>
      <c r="G184" s="13">
        <f t="shared" si="4"/>
        <v>2023</v>
      </c>
      <c r="H184" s="13" t="str">
        <f t="shared" si="5"/>
        <v>Q1</v>
      </c>
      <c r="I184" s="1" t="s">
        <v>37</v>
      </c>
      <c r="J184" s="7" t="s">
        <v>15</v>
      </c>
      <c r="K184" s="7" t="s">
        <v>29</v>
      </c>
      <c r="L184" t="s">
        <v>30</v>
      </c>
      <c r="M184" s="9">
        <v>502.77</v>
      </c>
      <c r="N184" s="4">
        <v>4</v>
      </c>
      <c r="O184" s="12">
        <v>0</v>
      </c>
      <c r="P184" s="9">
        <v>58.64</v>
      </c>
      <c r="Q184" s="10">
        <f>Table1[[#This Row],[Profit]]/Table1[[#This Row],[Sales]]</f>
        <v>0.116633848479424</v>
      </c>
      <c r="R184" t="str">
        <f>IF(Table1[[#This Row],[Profit Margin]]&gt;0,"profit","loss")</f>
        <v>profit</v>
      </c>
      <c r="S184" t="str">
        <f>IF(Table1[[#This Row],[Discount]]=0,"No Discount",IF(Table1[[#This Row],[Discount]]&lt;=0.2,"low",IF(Table1[[#This Row],[Discount]]&lt;=0.3,"medium","high")))</f>
        <v>No Discount</v>
      </c>
      <c r="T184" s="15" t="str">
        <f>IF(Table1[[#This Row],[Days]]&lt;=2,"faster",IF(Table1[[#This Row],[Days]]&lt;=4,"Normal","slow"))</f>
        <v>faster</v>
      </c>
    </row>
    <row r="185" spans="1:20" x14ac:dyDescent="0.25">
      <c r="A185" s="4" t="s">
        <v>218</v>
      </c>
      <c r="B185" s="1">
        <v>45182</v>
      </c>
      <c r="C185" s="1">
        <v>45187</v>
      </c>
      <c r="D185" s="13">
        <f>Table1[[#This Row],[Shipped date]]-Table1[[#This Row],[Order Date]]</f>
        <v>5</v>
      </c>
      <c r="E185" t="s">
        <v>25</v>
      </c>
      <c r="F185" s="13" t="str">
        <f>TEXT(Table1[[#This Row],[Order Date]],"MMMM")</f>
        <v>September</v>
      </c>
      <c r="G185" s="13">
        <f t="shared" si="4"/>
        <v>2023</v>
      </c>
      <c r="H185" s="13" t="str">
        <f t="shared" si="5"/>
        <v>Q3</v>
      </c>
      <c r="I185" s="1" t="s">
        <v>14</v>
      </c>
      <c r="J185" s="7" t="s">
        <v>21</v>
      </c>
      <c r="K185" s="7" t="s">
        <v>16</v>
      </c>
      <c r="L185" t="s">
        <v>33</v>
      </c>
      <c r="M185" s="9">
        <v>580.04</v>
      </c>
      <c r="N185" s="4">
        <v>10</v>
      </c>
      <c r="O185" s="12">
        <v>0.3</v>
      </c>
      <c r="P185" s="9">
        <v>-127.69</v>
      </c>
      <c r="Q185" s="10">
        <f>Table1[[#This Row],[Profit]]/Table1[[#This Row],[Sales]]</f>
        <v>-0.22013999034549342</v>
      </c>
      <c r="R185" t="str">
        <f>IF(Table1[[#This Row],[Profit Margin]]&gt;0,"profit","loss")</f>
        <v>loss</v>
      </c>
      <c r="S185" t="str">
        <f>IF(Table1[[#This Row],[Discount]]=0,"No Discount",IF(Table1[[#This Row],[Discount]]&lt;=0.2,"low",IF(Table1[[#This Row],[Discount]]&lt;=0.3,"medium","high")))</f>
        <v>medium</v>
      </c>
      <c r="T185" s="15" t="str">
        <f>IF(Table1[[#This Row],[Days]]&lt;=2,"faster",IF(Table1[[#This Row],[Days]]&lt;=4,"Normal","slow"))</f>
        <v>slow</v>
      </c>
    </row>
    <row r="186" spans="1:20" x14ac:dyDescent="0.25">
      <c r="A186" s="4" t="s">
        <v>219</v>
      </c>
      <c r="B186" s="1">
        <v>45195</v>
      </c>
      <c r="C186" s="1">
        <v>45202</v>
      </c>
      <c r="D186" s="13">
        <f>Table1[[#This Row],[Shipped date]]-Table1[[#This Row],[Order Date]]</f>
        <v>7</v>
      </c>
      <c r="E186" t="s">
        <v>25</v>
      </c>
      <c r="F186" s="13" t="str">
        <f>TEXT(Table1[[#This Row],[Order Date]],"MMMM")</f>
        <v>September</v>
      </c>
      <c r="G186" s="13">
        <f t="shared" si="4"/>
        <v>2023</v>
      </c>
      <c r="H186" s="13" t="str">
        <f t="shared" si="5"/>
        <v>Q3</v>
      </c>
      <c r="I186" s="1" t="s">
        <v>20</v>
      </c>
      <c r="J186" s="7" t="s">
        <v>26</v>
      </c>
      <c r="K186" s="7" t="s">
        <v>22</v>
      </c>
      <c r="L186" t="s">
        <v>23</v>
      </c>
      <c r="M186" s="9">
        <v>135.18</v>
      </c>
      <c r="N186" s="4">
        <v>2</v>
      </c>
      <c r="O186" s="12">
        <v>0</v>
      </c>
      <c r="P186" s="9">
        <v>45.61</v>
      </c>
      <c r="Q186" s="10">
        <f>Table1[[#This Row],[Profit]]/Table1[[#This Row],[Sales]]</f>
        <v>0.3374019825417961</v>
      </c>
      <c r="R186" t="str">
        <f>IF(Table1[[#This Row],[Profit Margin]]&gt;0,"profit","loss")</f>
        <v>profit</v>
      </c>
      <c r="S186" t="str">
        <f>IF(Table1[[#This Row],[Discount]]=0,"No Discount",IF(Table1[[#This Row],[Discount]]&lt;=0.2,"low",IF(Table1[[#This Row],[Discount]]&lt;=0.3,"medium","high")))</f>
        <v>No Discount</v>
      </c>
      <c r="T186" s="15" t="str">
        <f>IF(Table1[[#This Row],[Days]]&lt;=2,"faster",IF(Table1[[#This Row],[Days]]&lt;=4,"Normal","slow"))</f>
        <v>slow</v>
      </c>
    </row>
    <row r="187" spans="1:20" x14ac:dyDescent="0.25">
      <c r="A187" s="4" t="s">
        <v>220</v>
      </c>
      <c r="B187" s="1">
        <v>45164</v>
      </c>
      <c r="C187" s="1">
        <v>45170</v>
      </c>
      <c r="D187" s="13">
        <f>Table1[[#This Row],[Shipped date]]-Table1[[#This Row],[Order Date]]</f>
        <v>6</v>
      </c>
      <c r="E187" t="s">
        <v>13</v>
      </c>
      <c r="F187" s="13" t="str">
        <f>TEXT(Table1[[#This Row],[Order Date]],"MMMM")</f>
        <v>August</v>
      </c>
      <c r="G187" s="13">
        <f t="shared" si="4"/>
        <v>2023</v>
      </c>
      <c r="H187" s="13" t="str">
        <f t="shared" si="5"/>
        <v>Q3</v>
      </c>
      <c r="I187" s="1" t="s">
        <v>14</v>
      </c>
      <c r="J187" s="7" t="s">
        <v>26</v>
      </c>
      <c r="K187" s="7" t="s">
        <v>22</v>
      </c>
      <c r="L187" t="s">
        <v>40</v>
      </c>
      <c r="M187" s="9">
        <v>687.42</v>
      </c>
      <c r="N187" s="4">
        <v>2</v>
      </c>
      <c r="O187" s="12">
        <v>0.3</v>
      </c>
      <c r="P187" s="9">
        <v>-90.13</v>
      </c>
      <c r="Q187" s="10">
        <f>Table1[[#This Row],[Profit]]/Table1[[#This Row],[Sales]]</f>
        <v>-0.13111343865467981</v>
      </c>
      <c r="R187" t="str">
        <f>IF(Table1[[#This Row],[Profit Margin]]&gt;0,"profit","loss")</f>
        <v>loss</v>
      </c>
      <c r="S187" t="str">
        <f>IF(Table1[[#This Row],[Discount]]=0,"No Discount",IF(Table1[[#This Row],[Discount]]&lt;=0.2,"low",IF(Table1[[#This Row],[Discount]]&lt;=0.3,"medium","high")))</f>
        <v>medium</v>
      </c>
      <c r="T187" s="15" t="str">
        <f>IF(Table1[[#This Row],[Days]]&lt;=2,"faster",IF(Table1[[#This Row],[Days]]&lt;=4,"Normal","slow"))</f>
        <v>slow</v>
      </c>
    </row>
    <row r="188" spans="1:20" x14ac:dyDescent="0.25">
      <c r="A188" s="4" t="s">
        <v>221</v>
      </c>
      <c r="B188" s="1">
        <v>44944</v>
      </c>
      <c r="C188" s="1">
        <v>44949</v>
      </c>
      <c r="D188" s="13">
        <f>Table1[[#This Row],[Shipped date]]-Table1[[#This Row],[Order Date]]</f>
        <v>5</v>
      </c>
      <c r="E188" t="s">
        <v>13</v>
      </c>
      <c r="F188" s="13" t="str">
        <f>TEXT(Table1[[#This Row],[Order Date]],"MMMM")</f>
        <v>January</v>
      </c>
      <c r="G188" s="13">
        <f t="shared" si="4"/>
        <v>2023</v>
      </c>
      <c r="H188" s="13" t="str">
        <f t="shared" si="5"/>
        <v>Q1</v>
      </c>
      <c r="I188" s="1" t="s">
        <v>20</v>
      </c>
      <c r="J188" s="7" t="s">
        <v>32</v>
      </c>
      <c r="K188" s="7" t="s">
        <v>16</v>
      </c>
      <c r="L188" t="s">
        <v>17</v>
      </c>
      <c r="M188" s="9">
        <v>387.37</v>
      </c>
      <c r="N188" s="4">
        <v>2</v>
      </c>
      <c r="O188" s="12">
        <v>0</v>
      </c>
      <c r="P188" s="9">
        <v>24.54</v>
      </c>
      <c r="Q188" s="10">
        <f>Table1[[#This Row],[Profit]]/Table1[[#This Row],[Sales]]</f>
        <v>6.3350285256989436E-2</v>
      </c>
      <c r="R188" t="str">
        <f>IF(Table1[[#This Row],[Profit Margin]]&gt;0,"profit","loss")</f>
        <v>profit</v>
      </c>
      <c r="S188" t="str">
        <f>IF(Table1[[#This Row],[Discount]]=0,"No Discount",IF(Table1[[#This Row],[Discount]]&lt;=0.2,"low",IF(Table1[[#This Row],[Discount]]&lt;=0.3,"medium","high")))</f>
        <v>No Discount</v>
      </c>
      <c r="T188" s="15" t="str">
        <f>IF(Table1[[#This Row],[Days]]&lt;=2,"faster",IF(Table1[[#This Row],[Days]]&lt;=4,"Normal","slow"))</f>
        <v>slow</v>
      </c>
    </row>
    <row r="189" spans="1:20" x14ac:dyDescent="0.25">
      <c r="A189" s="4" t="s">
        <v>222</v>
      </c>
      <c r="B189" s="1">
        <v>45014</v>
      </c>
      <c r="C189" s="1">
        <v>45017</v>
      </c>
      <c r="D189" s="13">
        <f>Table1[[#This Row],[Shipped date]]-Table1[[#This Row],[Order Date]]</f>
        <v>3</v>
      </c>
      <c r="E189" t="s">
        <v>13</v>
      </c>
      <c r="F189" s="13" t="str">
        <f>TEXT(Table1[[#This Row],[Order Date]],"MMMM")</f>
        <v>March</v>
      </c>
      <c r="G189" s="13">
        <f t="shared" si="4"/>
        <v>2023</v>
      </c>
      <c r="H189" s="13" t="str">
        <f t="shared" si="5"/>
        <v>Q1</v>
      </c>
      <c r="I189" s="1" t="s">
        <v>37</v>
      </c>
      <c r="J189" s="7" t="s">
        <v>15</v>
      </c>
      <c r="K189" s="7" t="s">
        <v>22</v>
      </c>
      <c r="L189" t="s">
        <v>35</v>
      </c>
      <c r="M189" s="9">
        <v>537.79999999999995</v>
      </c>
      <c r="N189" s="4">
        <v>9</v>
      </c>
      <c r="O189" s="12">
        <v>0</v>
      </c>
      <c r="P189" s="9">
        <v>101.21</v>
      </c>
      <c r="Q189" s="10">
        <f>Table1[[#This Row],[Profit]]/Table1[[#This Row],[Sales]]</f>
        <v>0.18819263666790628</v>
      </c>
      <c r="R189" t="str">
        <f>IF(Table1[[#This Row],[Profit Margin]]&gt;0,"profit","loss")</f>
        <v>profit</v>
      </c>
      <c r="S189" t="str">
        <f>IF(Table1[[#This Row],[Discount]]=0,"No Discount",IF(Table1[[#This Row],[Discount]]&lt;=0.2,"low",IF(Table1[[#This Row],[Discount]]&lt;=0.3,"medium","high")))</f>
        <v>No Discount</v>
      </c>
      <c r="T189" s="15" t="str">
        <f>IF(Table1[[#This Row],[Days]]&lt;=2,"faster",IF(Table1[[#This Row],[Days]]&lt;=4,"Normal","slow"))</f>
        <v>Normal</v>
      </c>
    </row>
    <row r="190" spans="1:20" x14ac:dyDescent="0.25">
      <c r="A190" s="4" t="s">
        <v>223</v>
      </c>
      <c r="B190" s="1">
        <v>45118</v>
      </c>
      <c r="C190" s="1">
        <v>45123</v>
      </c>
      <c r="D190" s="13">
        <f>Table1[[#This Row],[Shipped date]]-Table1[[#This Row],[Order Date]]</f>
        <v>5</v>
      </c>
      <c r="E190" t="s">
        <v>19</v>
      </c>
      <c r="F190" s="13" t="str">
        <f>TEXT(Table1[[#This Row],[Order Date]],"MMMM")</f>
        <v>July</v>
      </c>
      <c r="G190" s="13">
        <f t="shared" si="4"/>
        <v>2023</v>
      </c>
      <c r="H190" s="13" t="str">
        <f t="shared" si="5"/>
        <v>Q3</v>
      </c>
      <c r="I190" s="1" t="s">
        <v>37</v>
      </c>
      <c r="J190" s="7" t="s">
        <v>26</v>
      </c>
      <c r="K190" s="7" t="s">
        <v>22</v>
      </c>
      <c r="L190" t="s">
        <v>35</v>
      </c>
      <c r="M190" s="9">
        <v>31.91</v>
      </c>
      <c r="N190" s="4">
        <v>3</v>
      </c>
      <c r="O190" s="12">
        <v>0.3</v>
      </c>
      <c r="P190" s="9">
        <v>12.54</v>
      </c>
      <c r="Q190" s="10">
        <f>Table1[[#This Row],[Profit]]/Table1[[#This Row],[Sales]]</f>
        <v>0.39298025697273581</v>
      </c>
      <c r="R190" t="str">
        <f>IF(Table1[[#This Row],[Profit Margin]]&gt;0,"profit","loss")</f>
        <v>profit</v>
      </c>
      <c r="S190" t="str">
        <f>IF(Table1[[#This Row],[Discount]]=0,"No Discount",IF(Table1[[#This Row],[Discount]]&lt;=0.2,"low",IF(Table1[[#This Row],[Discount]]&lt;=0.3,"medium","high")))</f>
        <v>medium</v>
      </c>
      <c r="T190" s="15" t="str">
        <f>IF(Table1[[#This Row],[Days]]&lt;=2,"faster",IF(Table1[[#This Row],[Days]]&lt;=4,"Normal","slow"))</f>
        <v>slow</v>
      </c>
    </row>
    <row r="191" spans="1:20" x14ac:dyDescent="0.25">
      <c r="A191" s="4" t="s">
        <v>224</v>
      </c>
      <c r="B191" s="1">
        <v>45075</v>
      </c>
      <c r="C191" s="1">
        <v>45076</v>
      </c>
      <c r="D191" s="13">
        <f>Table1[[#This Row],[Shipped date]]-Table1[[#This Row],[Order Date]]</f>
        <v>1</v>
      </c>
      <c r="E191" t="s">
        <v>25</v>
      </c>
      <c r="F191" s="13" t="str">
        <f>TEXT(Table1[[#This Row],[Order Date]],"MMMM")</f>
        <v>May</v>
      </c>
      <c r="G191" s="13">
        <f t="shared" si="4"/>
        <v>2023</v>
      </c>
      <c r="H191" s="13" t="str">
        <f t="shared" si="5"/>
        <v>Q2</v>
      </c>
      <c r="I191" s="1" t="s">
        <v>37</v>
      </c>
      <c r="J191" s="7" t="s">
        <v>15</v>
      </c>
      <c r="K191" s="7" t="s">
        <v>16</v>
      </c>
      <c r="L191" t="s">
        <v>38</v>
      </c>
      <c r="M191" s="9">
        <v>336.23</v>
      </c>
      <c r="N191" s="4">
        <v>4</v>
      </c>
      <c r="O191" s="12">
        <v>0.3</v>
      </c>
      <c r="P191" s="9">
        <v>-50.31</v>
      </c>
      <c r="Q191" s="10">
        <f>Table1[[#This Row],[Profit]]/Table1[[#This Row],[Sales]]</f>
        <v>-0.14962971775272879</v>
      </c>
      <c r="R191" t="str">
        <f>IF(Table1[[#This Row],[Profit Margin]]&gt;0,"profit","loss")</f>
        <v>loss</v>
      </c>
      <c r="S191" t="str">
        <f>IF(Table1[[#This Row],[Discount]]=0,"No Discount",IF(Table1[[#This Row],[Discount]]&lt;=0.2,"low",IF(Table1[[#This Row],[Discount]]&lt;=0.3,"medium","high")))</f>
        <v>medium</v>
      </c>
      <c r="T191" s="15" t="str">
        <f>IF(Table1[[#This Row],[Days]]&lt;=2,"faster",IF(Table1[[#This Row],[Days]]&lt;=4,"Normal","slow"))</f>
        <v>faster</v>
      </c>
    </row>
    <row r="192" spans="1:20" x14ac:dyDescent="0.25">
      <c r="A192" s="4" t="s">
        <v>225</v>
      </c>
      <c r="B192" s="1">
        <v>44935</v>
      </c>
      <c r="C192" s="1">
        <v>44941</v>
      </c>
      <c r="D192" s="13">
        <f>Table1[[#This Row],[Shipped date]]-Table1[[#This Row],[Order Date]]</f>
        <v>6</v>
      </c>
      <c r="E192" t="s">
        <v>13</v>
      </c>
      <c r="F192" s="13" t="str">
        <f>TEXT(Table1[[#This Row],[Order Date]],"MMMM")</f>
        <v>January</v>
      </c>
      <c r="G192" s="13">
        <f t="shared" si="4"/>
        <v>2023</v>
      </c>
      <c r="H192" s="13" t="str">
        <f t="shared" si="5"/>
        <v>Q1</v>
      </c>
      <c r="I192" s="1" t="s">
        <v>37</v>
      </c>
      <c r="J192" s="7" t="s">
        <v>26</v>
      </c>
      <c r="K192" s="7" t="s">
        <v>22</v>
      </c>
      <c r="L192" t="s">
        <v>23</v>
      </c>
      <c r="M192" s="9">
        <v>993.11</v>
      </c>
      <c r="N192" s="4">
        <v>4</v>
      </c>
      <c r="O192" s="12">
        <v>0</v>
      </c>
      <c r="P192" s="9">
        <v>97.02</v>
      </c>
      <c r="Q192" s="10">
        <f>Table1[[#This Row],[Profit]]/Table1[[#This Row],[Sales]]</f>
        <v>9.7693105496873447E-2</v>
      </c>
      <c r="R192" t="str">
        <f>IF(Table1[[#This Row],[Profit Margin]]&gt;0,"profit","loss")</f>
        <v>profit</v>
      </c>
      <c r="S192" t="str">
        <f>IF(Table1[[#This Row],[Discount]]=0,"No Discount",IF(Table1[[#This Row],[Discount]]&lt;=0.2,"low",IF(Table1[[#This Row],[Discount]]&lt;=0.3,"medium","high")))</f>
        <v>No Discount</v>
      </c>
      <c r="T192" s="15" t="str">
        <f>IF(Table1[[#This Row],[Days]]&lt;=2,"faster",IF(Table1[[#This Row],[Days]]&lt;=4,"Normal","slow"))</f>
        <v>slow</v>
      </c>
    </row>
    <row r="193" spans="1:20" x14ac:dyDescent="0.25">
      <c r="A193" s="4" t="s">
        <v>226</v>
      </c>
      <c r="B193" s="1">
        <v>45187</v>
      </c>
      <c r="C193" s="1">
        <v>45189</v>
      </c>
      <c r="D193" s="13">
        <f>Table1[[#This Row],[Shipped date]]-Table1[[#This Row],[Order Date]]</f>
        <v>2</v>
      </c>
      <c r="E193" t="s">
        <v>25</v>
      </c>
      <c r="F193" s="13" t="str">
        <f>TEXT(Table1[[#This Row],[Order Date]],"MMMM")</f>
        <v>September</v>
      </c>
      <c r="G193" s="13">
        <f t="shared" si="4"/>
        <v>2023</v>
      </c>
      <c r="H193" s="13" t="str">
        <f t="shared" si="5"/>
        <v>Q3</v>
      </c>
      <c r="I193" s="1" t="s">
        <v>37</v>
      </c>
      <c r="J193" s="7" t="s">
        <v>32</v>
      </c>
      <c r="K193" s="7" t="s">
        <v>16</v>
      </c>
      <c r="L193" t="s">
        <v>17</v>
      </c>
      <c r="M193" s="9">
        <v>701.5</v>
      </c>
      <c r="N193" s="4">
        <v>4</v>
      </c>
      <c r="O193" s="12">
        <v>0</v>
      </c>
      <c r="P193" s="9">
        <v>86.77</v>
      </c>
      <c r="Q193" s="10">
        <f>Table1[[#This Row],[Profit]]/Table1[[#This Row],[Sales]]</f>
        <v>0.12369208838203849</v>
      </c>
      <c r="R193" t="str">
        <f>IF(Table1[[#This Row],[Profit Margin]]&gt;0,"profit","loss")</f>
        <v>profit</v>
      </c>
      <c r="S193" t="str">
        <f>IF(Table1[[#This Row],[Discount]]=0,"No Discount",IF(Table1[[#This Row],[Discount]]&lt;=0.2,"low",IF(Table1[[#This Row],[Discount]]&lt;=0.3,"medium","high")))</f>
        <v>No Discount</v>
      </c>
      <c r="T193" s="15" t="str">
        <f>IF(Table1[[#This Row],[Days]]&lt;=2,"faster",IF(Table1[[#This Row],[Days]]&lt;=4,"Normal","slow"))</f>
        <v>faster</v>
      </c>
    </row>
    <row r="194" spans="1:20" x14ac:dyDescent="0.25">
      <c r="A194" s="4" t="s">
        <v>227</v>
      </c>
      <c r="B194" s="1">
        <v>45233</v>
      </c>
      <c r="C194" s="1">
        <v>45235</v>
      </c>
      <c r="D194" s="13">
        <f>Table1[[#This Row],[Shipped date]]-Table1[[#This Row],[Order Date]]</f>
        <v>2</v>
      </c>
      <c r="E194" t="s">
        <v>19</v>
      </c>
      <c r="F194" s="13" t="str">
        <f>TEXT(Table1[[#This Row],[Order Date]],"MMMM")</f>
        <v>November</v>
      </c>
      <c r="G194" s="13">
        <f t="shared" si="4"/>
        <v>2023</v>
      </c>
      <c r="H194" s="13" t="str">
        <f t="shared" si="5"/>
        <v>Q4</v>
      </c>
      <c r="I194" s="1" t="s">
        <v>14</v>
      </c>
      <c r="J194" s="7" t="s">
        <v>26</v>
      </c>
      <c r="K194" s="7" t="s">
        <v>29</v>
      </c>
      <c r="L194" t="s">
        <v>43</v>
      </c>
      <c r="M194" s="9">
        <v>636.80999999999995</v>
      </c>
      <c r="N194" s="4">
        <v>10</v>
      </c>
      <c r="O194" s="12">
        <v>0.1</v>
      </c>
      <c r="P194" s="9">
        <v>0.61</v>
      </c>
      <c r="Q194" s="10">
        <f>Table1[[#This Row],[Profit]]/Table1[[#This Row],[Sales]]</f>
        <v>9.5789953047219743E-4</v>
      </c>
      <c r="R194" t="str">
        <f>IF(Table1[[#This Row],[Profit Margin]]&gt;0,"profit","loss")</f>
        <v>profit</v>
      </c>
      <c r="S194" t="str">
        <f>IF(Table1[[#This Row],[Discount]]=0,"No Discount",IF(Table1[[#This Row],[Discount]]&lt;=0.2,"low",IF(Table1[[#This Row],[Discount]]&lt;=0.3,"medium","high")))</f>
        <v>low</v>
      </c>
      <c r="T194" s="15" t="str">
        <f>IF(Table1[[#This Row],[Days]]&lt;=2,"faster",IF(Table1[[#This Row],[Days]]&lt;=4,"Normal","slow"))</f>
        <v>faster</v>
      </c>
    </row>
    <row r="195" spans="1:20" x14ac:dyDescent="0.25">
      <c r="A195" s="4" t="s">
        <v>228</v>
      </c>
      <c r="B195" s="1">
        <v>45106</v>
      </c>
      <c r="C195" s="1">
        <v>45112</v>
      </c>
      <c r="D195" s="13">
        <f>Table1[[#This Row],[Shipped date]]-Table1[[#This Row],[Order Date]]</f>
        <v>6</v>
      </c>
      <c r="E195" t="s">
        <v>13</v>
      </c>
      <c r="F195" s="13" t="str">
        <f>TEXT(Table1[[#This Row],[Order Date]],"MMMM")</f>
        <v>June</v>
      </c>
      <c r="G195" s="13">
        <f t="shared" ref="G195:G258" si="6">YEAR(B195)</f>
        <v>2023</v>
      </c>
      <c r="H195" s="13" t="str">
        <f t="shared" ref="H195:H258" si="7">"Q" &amp;ROUNDUP(MONTH(B195)/3,0)</f>
        <v>Q2</v>
      </c>
      <c r="I195" s="1" t="s">
        <v>14</v>
      </c>
      <c r="J195" s="7" t="s">
        <v>26</v>
      </c>
      <c r="K195" s="7" t="s">
        <v>16</v>
      </c>
      <c r="L195" t="s">
        <v>33</v>
      </c>
      <c r="M195" s="9">
        <v>995.91</v>
      </c>
      <c r="N195" s="4">
        <v>5</v>
      </c>
      <c r="O195" s="12">
        <v>0.1</v>
      </c>
      <c r="P195" s="9">
        <v>20.9</v>
      </c>
      <c r="Q195" s="10">
        <f>Table1[[#This Row],[Profit]]/Table1[[#This Row],[Sales]]</f>
        <v>2.0985832053097165E-2</v>
      </c>
      <c r="R195" t="str">
        <f>IF(Table1[[#This Row],[Profit Margin]]&gt;0,"profit","loss")</f>
        <v>profit</v>
      </c>
      <c r="S195" t="str">
        <f>IF(Table1[[#This Row],[Discount]]=0,"No Discount",IF(Table1[[#This Row],[Discount]]&lt;=0.2,"low",IF(Table1[[#This Row],[Discount]]&lt;=0.3,"medium","high")))</f>
        <v>low</v>
      </c>
      <c r="T195" s="15" t="str">
        <f>IF(Table1[[#This Row],[Days]]&lt;=2,"faster",IF(Table1[[#This Row],[Days]]&lt;=4,"Normal","slow"))</f>
        <v>slow</v>
      </c>
    </row>
    <row r="196" spans="1:20" x14ac:dyDescent="0.25">
      <c r="A196" s="4" t="s">
        <v>229</v>
      </c>
      <c r="B196" s="1">
        <v>45159</v>
      </c>
      <c r="C196" s="1">
        <v>45160</v>
      </c>
      <c r="D196" s="13">
        <f>Table1[[#This Row],[Shipped date]]-Table1[[#This Row],[Order Date]]</f>
        <v>1</v>
      </c>
      <c r="E196" t="s">
        <v>28</v>
      </c>
      <c r="F196" s="13" t="str">
        <f>TEXT(Table1[[#This Row],[Order Date]],"MMMM")</f>
        <v>August</v>
      </c>
      <c r="G196" s="13">
        <f t="shared" si="6"/>
        <v>2023</v>
      </c>
      <c r="H196" s="13" t="str">
        <f t="shared" si="7"/>
        <v>Q3</v>
      </c>
      <c r="I196" s="1" t="s">
        <v>20</v>
      </c>
      <c r="J196" s="7" t="s">
        <v>21</v>
      </c>
      <c r="K196" s="7" t="s">
        <v>16</v>
      </c>
      <c r="L196" t="s">
        <v>38</v>
      </c>
      <c r="M196" s="9">
        <v>903.13</v>
      </c>
      <c r="N196" s="4">
        <v>1</v>
      </c>
      <c r="O196" s="12">
        <v>0</v>
      </c>
      <c r="P196" s="9">
        <v>134.38</v>
      </c>
      <c r="Q196" s="10">
        <f>Table1[[#This Row],[Profit]]/Table1[[#This Row],[Sales]]</f>
        <v>0.14879363989680333</v>
      </c>
      <c r="R196" t="str">
        <f>IF(Table1[[#This Row],[Profit Margin]]&gt;0,"profit","loss")</f>
        <v>profit</v>
      </c>
      <c r="S196" t="str">
        <f>IF(Table1[[#This Row],[Discount]]=0,"No Discount",IF(Table1[[#This Row],[Discount]]&lt;=0.2,"low",IF(Table1[[#This Row],[Discount]]&lt;=0.3,"medium","high")))</f>
        <v>No Discount</v>
      </c>
      <c r="T196" s="15" t="str">
        <f>IF(Table1[[#This Row],[Days]]&lt;=2,"faster",IF(Table1[[#This Row],[Days]]&lt;=4,"Normal","slow"))</f>
        <v>faster</v>
      </c>
    </row>
    <row r="197" spans="1:20" x14ac:dyDescent="0.25">
      <c r="A197" s="4" t="s">
        <v>230</v>
      </c>
      <c r="B197" s="1">
        <v>45193</v>
      </c>
      <c r="C197" s="1">
        <v>45199</v>
      </c>
      <c r="D197" s="13">
        <f>Table1[[#This Row],[Shipped date]]-Table1[[#This Row],[Order Date]]</f>
        <v>6</v>
      </c>
      <c r="E197" t="s">
        <v>25</v>
      </c>
      <c r="F197" s="13" t="str">
        <f>TEXT(Table1[[#This Row],[Order Date]],"MMMM")</f>
        <v>September</v>
      </c>
      <c r="G197" s="13">
        <f t="shared" si="6"/>
        <v>2023</v>
      </c>
      <c r="H197" s="13" t="str">
        <f t="shared" si="7"/>
        <v>Q3</v>
      </c>
      <c r="I197" s="1" t="s">
        <v>37</v>
      </c>
      <c r="J197" s="7" t="s">
        <v>15</v>
      </c>
      <c r="K197" s="7" t="s">
        <v>22</v>
      </c>
      <c r="L197" t="s">
        <v>40</v>
      </c>
      <c r="M197" s="9">
        <v>959.53</v>
      </c>
      <c r="N197" s="4">
        <v>7</v>
      </c>
      <c r="O197" s="12">
        <v>0.3</v>
      </c>
      <c r="P197" s="9">
        <v>-149.59</v>
      </c>
      <c r="Q197" s="10">
        <f>Table1[[#This Row],[Profit]]/Table1[[#This Row],[Sales]]</f>
        <v>-0.15589924233739436</v>
      </c>
      <c r="R197" t="str">
        <f>IF(Table1[[#This Row],[Profit Margin]]&gt;0,"profit","loss")</f>
        <v>loss</v>
      </c>
      <c r="S197" t="str">
        <f>IF(Table1[[#This Row],[Discount]]=0,"No Discount",IF(Table1[[#This Row],[Discount]]&lt;=0.2,"low",IF(Table1[[#This Row],[Discount]]&lt;=0.3,"medium","high")))</f>
        <v>medium</v>
      </c>
      <c r="T197" s="15" t="str">
        <f>IF(Table1[[#This Row],[Days]]&lt;=2,"faster",IF(Table1[[#This Row],[Days]]&lt;=4,"Normal","slow"))</f>
        <v>slow</v>
      </c>
    </row>
    <row r="198" spans="1:20" x14ac:dyDescent="0.25">
      <c r="A198" s="4" t="s">
        <v>231</v>
      </c>
      <c r="B198" s="1">
        <v>45292</v>
      </c>
      <c r="C198" s="1">
        <v>45295</v>
      </c>
      <c r="D198" s="13">
        <f>Table1[[#This Row],[Shipped date]]-Table1[[#This Row],[Order Date]]</f>
        <v>3</v>
      </c>
      <c r="E198" t="s">
        <v>25</v>
      </c>
      <c r="F198" s="13" t="str">
        <f>TEXT(Table1[[#This Row],[Order Date]],"MMMM")</f>
        <v>January</v>
      </c>
      <c r="G198" s="13">
        <f t="shared" si="6"/>
        <v>2024</v>
      </c>
      <c r="H198" s="13" t="str">
        <f t="shared" si="7"/>
        <v>Q1</v>
      </c>
      <c r="I198" s="1" t="s">
        <v>14</v>
      </c>
      <c r="J198" s="7" t="s">
        <v>32</v>
      </c>
      <c r="K198" s="7" t="s">
        <v>16</v>
      </c>
      <c r="L198" t="s">
        <v>17</v>
      </c>
      <c r="M198" s="9">
        <v>466.54</v>
      </c>
      <c r="N198" s="4">
        <v>9</v>
      </c>
      <c r="O198" s="12">
        <v>0.3</v>
      </c>
      <c r="P198" s="9">
        <v>-89.81</v>
      </c>
      <c r="Q198" s="10">
        <f>Table1[[#This Row],[Profit]]/Table1[[#This Row],[Sales]]</f>
        <v>-0.19250225061088008</v>
      </c>
      <c r="R198" t="str">
        <f>IF(Table1[[#This Row],[Profit Margin]]&gt;0,"profit","loss")</f>
        <v>loss</v>
      </c>
      <c r="S198" t="str">
        <f>IF(Table1[[#This Row],[Discount]]=0,"No Discount",IF(Table1[[#This Row],[Discount]]&lt;=0.2,"low",IF(Table1[[#This Row],[Discount]]&lt;=0.3,"medium","high")))</f>
        <v>medium</v>
      </c>
      <c r="T198" s="15" t="str">
        <f>IF(Table1[[#This Row],[Days]]&lt;=2,"faster",IF(Table1[[#This Row],[Days]]&lt;=4,"Normal","slow"))</f>
        <v>Normal</v>
      </c>
    </row>
    <row r="199" spans="1:20" x14ac:dyDescent="0.25">
      <c r="A199" s="4" t="s">
        <v>232</v>
      </c>
      <c r="B199" s="1">
        <v>45121</v>
      </c>
      <c r="C199" s="1">
        <v>45127</v>
      </c>
      <c r="D199" s="13">
        <f>Table1[[#This Row],[Shipped date]]-Table1[[#This Row],[Order Date]]</f>
        <v>6</v>
      </c>
      <c r="E199" t="s">
        <v>13</v>
      </c>
      <c r="F199" s="13" t="str">
        <f>TEXT(Table1[[#This Row],[Order Date]],"MMMM")</f>
        <v>July</v>
      </c>
      <c r="G199" s="13">
        <f t="shared" si="6"/>
        <v>2023</v>
      </c>
      <c r="H199" s="13" t="str">
        <f t="shared" si="7"/>
        <v>Q3</v>
      </c>
      <c r="I199" s="1" t="s">
        <v>37</v>
      </c>
      <c r="J199" s="7" t="s">
        <v>15</v>
      </c>
      <c r="K199" s="7" t="s">
        <v>22</v>
      </c>
      <c r="L199" t="s">
        <v>35</v>
      </c>
      <c r="M199" s="9">
        <v>186.29</v>
      </c>
      <c r="N199" s="4">
        <v>8</v>
      </c>
      <c r="O199" s="12">
        <v>0.3</v>
      </c>
      <c r="P199" s="9">
        <v>-24.8</v>
      </c>
      <c r="Q199" s="10">
        <f>Table1[[#This Row],[Profit]]/Table1[[#This Row],[Sales]]</f>
        <v>-0.13312577164635783</v>
      </c>
      <c r="R199" t="str">
        <f>IF(Table1[[#This Row],[Profit Margin]]&gt;0,"profit","loss")</f>
        <v>loss</v>
      </c>
      <c r="S199" t="str">
        <f>IF(Table1[[#This Row],[Discount]]=0,"No Discount",IF(Table1[[#This Row],[Discount]]&lt;=0.2,"low",IF(Table1[[#This Row],[Discount]]&lt;=0.3,"medium","high")))</f>
        <v>medium</v>
      </c>
      <c r="T199" s="15" t="str">
        <f>IF(Table1[[#This Row],[Days]]&lt;=2,"faster",IF(Table1[[#This Row],[Days]]&lt;=4,"Normal","slow"))</f>
        <v>slow</v>
      </c>
    </row>
    <row r="200" spans="1:20" x14ac:dyDescent="0.25">
      <c r="A200" s="4" t="s">
        <v>233</v>
      </c>
      <c r="B200" s="1">
        <v>45212</v>
      </c>
      <c r="C200" s="1">
        <v>45219</v>
      </c>
      <c r="D200" s="13">
        <f>Table1[[#This Row],[Shipped date]]-Table1[[#This Row],[Order Date]]</f>
        <v>7</v>
      </c>
      <c r="E200" t="s">
        <v>13</v>
      </c>
      <c r="F200" s="13" t="str">
        <f>TEXT(Table1[[#This Row],[Order Date]],"MMMM")</f>
        <v>October</v>
      </c>
      <c r="G200" s="13">
        <f t="shared" si="6"/>
        <v>2023</v>
      </c>
      <c r="H200" s="13" t="str">
        <f t="shared" si="7"/>
        <v>Q4</v>
      </c>
      <c r="I200" s="1" t="s">
        <v>20</v>
      </c>
      <c r="J200" s="7" t="s">
        <v>26</v>
      </c>
      <c r="K200" s="7" t="s">
        <v>16</v>
      </c>
      <c r="L200" t="s">
        <v>38</v>
      </c>
      <c r="M200" s="9">
        <v>366.29</v>
      </c>
      <c r="N200" s="4">
        <v>2</v>
      </c>
      <c r="O200" s="12">
        <v>0.1</v>
      </c>
      <c r="P200" s="9">
        <v>-1.38</v>
      </c>
      <c r="Q200" s="10">
        <f>Table1[[#This Row],[Profit]]/Table1[[#This Row],[Sales]]</f>
        <v>-3.7675066204373581E-3</v>
      </c>
      <c r="R200" t="str">
        <f>IF(Table1[[#This Row],[Profit Margin]]&gt;0,"profit","loss")</f>
        <v>loss</v>
      </c>
      <c r="S200" t="str">
        <f>IF(Table1[[#This Row],[Discount]]=0,"No Discount",IF(Table1[[#This Row],[Discount]]&lt;=0.2,"low",IF(Table1[[#This Row],[Discount]]&lt;=0.3,"medium","high")))</f>
        <v>low</v>
      </c>
      <c r="T200" s="15" t="str">
        <f>IF(Table1[[#This Row],[Days]]&lt;=2,"faster",IF(Table1[[#This Row],[Days]]&lt;=4,"Normal","slow"))</f>
        <v>slow</v>
      </c>
    </row>
    <row r="201" spans="1:20" x14ac:dyDescent="0.25">
      <c r="A201" s="4" t="s">
        <v>234</v>
      </c>
      <c r="B201" s="1">
        <v>45270</v>
      </c>
      <c r="C201" s="1">
        <v>45277</v>
      </c>
      <c r="D201" s="13">
        <f>Table1[[#This Row],[Shipped date]]-Table1[[#This Row],[Order Date]]</f>
        <v>7</v>
      </c>
      <c r="E201" t="s">
        <v>25</v>
      </c>
      <c r="F201" s="13" t="str">
        <f>TEXT(Table1[[#This Row],[Order Date]],"MMMM")</f>
        <v>December</v>
      </c>
      <c r="G201" s="13">
        <f t="shared" si="6"/>
        <v>2023</v>
      </c>
      <c r="H201" s="13" t="str">
        <f t="shared" si="7"/>
        <v>Q4</v>
      </c>
      <c r="I201" s="1" t="s">
        <v>14</v>
      </c>
      <c r="J201" s="7" t="s">
        <v>21</v>
      </c>
      <c r="K201" s="7" t="s">
        <v>29</v>
      </c>
      <c r="L201" t="s">
        <v>45</v>
      </c>
      <c r="M201" s="9">
        <v>373.14</v>
      </c>
      <c r="N201" s="4">
        <v>8</v>
      </c>
      <c r="O201" s="12">
        <v>0.3</v>
      </c>
      <c r="P201" s="9">
        <v>-25.59</v>
      </c>
      <c r="Q201" s="10">
        <f>Table1[[#This Row],[Profit]]/Table1[[#This Row],[Sales]]</f>
        <v>-6.8580157581604767E-2</v>
      </c>
      <c r="R201" t="str">
        <f>IF(Table1[[#This Row],[Profit Margin]]&gt;0,"profit","loss")</f>
        <v>loss</v>
      </c>
      <c r="S201" t="str">
        <f>IF(Table1[[#This Row],[Discount]]=0,"No Discount",IF(Table1[[#This Row],[Discount]]&lt;=0.2,"low",IF(Table1[[#This Row],[Discount]]&lt;=0.3,"medium","high")))</f>
        <v>medium</v>
      </c>
      <c r="T201" s="15" t="str">
        <f>IF(Table1[[#This Row],[Days]]&lt;=2,"faster",IF(Table1[[#This Row],[Days]]&lt;=4,"Normal","slow"))</f>
        <v>slow</v>
      </c>
    </row>
    <row r="202" spans="1:20" x14ac:dyDescent="0.25">
      <c r="A202" s="4" t="s">
        <v>235</v>
      </c>
      <c r="B202" s="1">
        <v>45127</v>
      </c>
      <c r="C202" s="1">
        <v>45132</v>
      </c>
      <c r="D202" s="13">
        <f>Table1[[#This Row],[Shipped date]]-Table1[[#This Row],[Order Date]]</f>
        <v>5</v>
      </c>
      <c r="E202" t="s">
        <v>13</v>
      </c>
      <c r="F202" s="13" t="str">
        <f>TEXT(Table1[[#This Row],[Order Date]],"MMMM")</f>
        <v>July</v>
      </c>
      <c r="G202" s="13">
        <f t="shared" si="6"/>
        <v>2023</v>
      </c>
      <c r="H202" s="13" t="str">
        <f t="shared" si="7"/>
        <v>Q3</v>
      </c>
      <c r="I202" s="1" t="s">
        <v>37</v>
      </c>
      <c r="J202" s="7" t="s">
        <v>26</v>
      </c>
      <c r="K202" s="7" t="s">
        <v>29</v>
      </c>
      <c r="L202" t="s">
        <v>43</v>
      </c>
      <c r="M202" s="9">
        <v>704.2</v>
      </c>
      <c r="N202" s="4">
        <v>6</v>
      </c>
      <c r="O202" s="12">
        <v>0</v>
      </c>
      <c r="P202" s="9">
        <v>70</v>
      </c>
      <c r="Q202" s="10">
        <f>Table1[[#This Row],[Profit]]/Table1[[#This Row],[Sales]]</f>
        <v>9.940357852882703E-2</v>
      </c>
      <c r="R202" t="str">
        <f>IF(Table1[[#This Row],[Profit Margin]]&gt;0,"profit","loss")</f>
        <v>profit</v>
      </c>
      <c r="S202" t="str">
        <f>IF(Table1[[#This Row],[Discount]]=0,"No Discount",IF(Table1[[#This Row],[Discount]]&lt;=0.2,"low",IF(Table1[[#This Row],[Discount]]&lt;=0.3,"medium","high")))</f>
        <v>No Discount</v>
      </c>
      <c r="T202" s="15" t="str">
        <f>IF(Table1[[#This Row],[Days]]&lt;=2,"faster",IF(Table1[[#This Row],[Days]]&lt;=4,"Normal","slow"))</f>
        <v>slow</v>
      </c>
    </row>
    <row r="203" spans="1:20" x14ac:dyDescent="0.25">
      <c r="A203" s="4" t="s">
        <v>236</v>
      </c>
      <c r="B203" s="1">
        <v>45043</v>
      </c>
      <c r="C203" s="1">
        <v>45044</v>
      </c>
      <c r="D203" s="13">
        <f>Table1[[#This Row],[Shipped date]]-Table1[[#This Row],[Order Date]]</f>
        <v>1</v>
      </c>
      <c r="E203" t="s">
        <v>19</v>
      </c>
      <c r="F203" s="13" t="str">
        <f>TEXT(Table1[[#This Row],[Order Date]],"MMMM")</f>
        <v>April</v>
      </c>
      <c r="G203" s="13">
        <f t="shared" si="6"/>
        <v>2023</v>
      </c>
      <c r="H203" s="13" t="str">
        <f t="shared" si="7"/>
        <v>Q2</v>
      </c>
      <c r="I203" s="1" t="s">
        <v>14</v>
      </c>
      <c r="J203" s="7" t="s">
        <v>26</v>
      </c>
      <c r="K203" s="7" t="s">
        <v>16</v>
      </c>
      <c r="L203" t="s">
        <v>33</v>
      </c>
      <c r="M203" s="9">
        <v>422.98</v>
      </c>
      <c r="N203" s="4">
        <v>3</v>
      </c>
      <c r="O203" s="12">
        <v>0</v>
      </c>
      <c r="P203" s="9">
        <v>70.23</v>
      </c>
      <c r="Q203" s="10">
        <f>Table1[[#This Row],[Profit]]/Table1[[#This Row],[Sales]]</f>
        <v>0.16603621920658188</v>
      </c>
      <c r="R203" t="str">
        <f>IF(Table1[[#This Row],[Profit Margin]]&gt;0,"profit","loss")</f>
        <v>profit</v>
      </c>
      <c r="S203" t="str">
        <f>IF(Table1[[#This Row],[Discount]]=0,"No Discount",IF(Table1[[#This Row],[Discount]]&lt;=0.2,"low",IF(Table1[[#This Row],[Discount]]&lt;=0.3,"medium","high")))</f>
        <v>No Discount</v>
      </c>
      <c r="T203" s="15" t="str">
        <f>IF(Table1[[#This Row],[Days]]&lt;=2,"faster",IF(Table1[[#This Row],[Days]]&lt;=4,"Normal","slow"))</f>
        <v>faster</v>
      </c>
    </row>
    <row r="204" spans="1:20" x14ac:dyDescent="0.25">
      <c r="A204" s="4" t="s">
        <v>237</v>
      </c>
      <c r="B204" s="1">
        <v>45150</v>
      </c>
      <c r="C204" s="1">
        <v>45151</v>
      </c>
      <c r="D204" s="13">
        <f>Table1[[#This Row],[Shipped date]]-Table1[[#This Row],[Order Date]]</f>
        <v>1</v>
      </c>
      <c r="E204" t="s">
        <v>13</v>
      </c>
      <c r="F204" s="13" t="str">
        <f>TEXT(Table1[[#This Row],[Order Date]],"MMMM")</f>
        <v>August</v>
      </c>
      <c r="G204" s="13">
        <f t="shared" si="6"/>
        <v>2023</v>
      </c>
      <c r="H204" s="13" t="str">
        <f t="shared" si="7"/>
        <v>Q3</v>
      </c>
      <c r="I204" s="1" t="s">
        <v>14</v>
      </c>
      <c r="J204" s="7" t="s">
        <v>15</v>
      </c>
      <c r="K204" s="7" t="s">
        <v>22</v>
      </c>
      <c r="L204" t="s">
        <v>40</v>
      </c>
      <c r="M204" s="9">
        <v>179.36</v>
      </c>
      <c r="N204" s="4">
        <v>10</v>
      </c>
      <c r="O204" s="12">
        <v>0.1</v>
      </c>
      <c r="P204" s="9">
        <v>-14.67</v>
      </c>
      <c r="Q204" s="10">
        <f>Table1[[#This Row],[Profit]]/Table1[[#This Row],[Sales]]</f>
        <v>-8.17908117752007E-2</v>
      </c>
      <c r="R204" t="str">
        <f>IF(Table1[[#This Row],[Profit Margin]]&gt;0,"profit","loss")</f>
        <v>loss</v>
      </c>
      <c r="S204" t="str">
        <f>IF(Table1[[#This Row],[Discount]]=0,"No Discount",IF(Table1[[#This Row],[Discount]]&lt;=0.2,"low",IF(Table1[[#This Row],[Discount]]&lt;=0.3,"medium","high")))</f>
        <v>low</v>
      </c>
      <c r="T204" s="15" t="str">
        <f>IF(Table1[[#This Row],[Days]]&lt;=2,"faster",IF(Table1[[#This Row],[Days]]&lt;=4,"Normal","slow"))</f>
        <v>faster</v>
      </c>
    </row>
    <row r="205" spans="1:20" x14ac:dyDescent="0.25">
      <c r="A205" s="4" t="s">
        <v>238</v>
      </c>
      <c r="B205" s="1">
        <v>44988</v>
      </c>
      <c r="C205" s="1">
        <v>44991</v>
      </c>
      <c r="D205" s="13">
        <f>Table1[[#This Row],[Shipped date]]-Table1[[#This Row],[Order Date]]</f>
        <v>3</v>
      </c>
      <c r="E205" t="s">
        <v>25</v>
      </c>
      <c r="F205" s="13" t="str">
        <f>TEXT(Table1[[#This Row],[Order Date]],"MMMM")</f>
        <v>March</v>
      </c>
      <c r="G205" s="13">
        <f t="shared" si="6"/>
        <v>2023</v>
      </c>
      <c r="H205" s="13" t="str">
        <f t="shared" si="7"/>
        <v>Q1</v>
      </c>
      <c r="I205" s="1" t="s">
        <v>14</v>
      </c>
      <c r="J205" s="7" t="s">
        <v>21</v>
      </c>
      <c r="K205" s="7" t="s">
        <v>29</v>
      </c>
      <c r="L205" t="s">
        <v>43</v>
      </c>
      <c r="M205" s="9">
        <v>941.72</v>
      </c>
      <c r="N205" s="4">
        <v>9</v>
      </c>
      <c r="O205" s="12">
        <v>0.2</v>
      </c>
      <c r="P205" s="9">
        <v>-63.37</v>
      </c>
      <c r="Q205" s="10">
        <f>Table1[[#This Row],[Profit]]/Table1[[#This Row],[Sales]]</f>
        <v>-6.7291764006286364E-2</v>
      </c>
      <c r="R205" t="str">
        <f>IF(Table1[[#This Row],[Profit Margin]]&gt;0,"profit","loss")</f>
        <v>loss</v>
      </c>
      <c r="S205" t="str">
        <f>IF(Table1[[#This Row],[Discount]]=0,"No Discount",IF(Table1[[#This Row],[Discount]]&lt;=0.2,"low",IF(Table1[[#This Row],[Discount]]&lt;=0.3,"medium","high")))</f>
        <v>low</v>
      </c>
      <c r="T205" s="15" t="str">
        <f>IF(Table1[[#This Row],[Days]]&lt;=2,"faster",IF(Table1[[#This Row],[Days]]&lt;=4,"Normal","slow"))</f>
        <v>Normal</v>
      </c>
    </row>
    <row r="206" spans="1:20" x14ac:dyDescent="0.25">
      <c r="A206" s="4" t="s">
        <v>239</v>
      </c>
      <c r="B206" s="1">
        <v>45066</v>
      </c>
      <c r="C206" s="1">
        <v>45070</v>
      </c>
      <c r="D206" s="13">
        <f>Table1[[#This Row],[Shipped date]]-Table1[[#This Row],[Order Date]]</f>
        <v>4</v>
      </c>
      <c r="E206" t="s">
        <v>25</v>
      </c>
      <c r="F206" s="13" t="str">
        <f>TEXT(Table1[[#This Row],[Order Date]],"MMMM")</f>
        <v>May</v>
      </c>
      <c r="G206" s="13">
        <f t="shared" si="6"/>
        <v>2023</v>
      </c>
      <c r="H206" s="13" t="str">
        <f t="shared" si="7"/>
        <v>Q2</v>
      </c>
      <c r="I206" s="1" t="s">
        <v>20</v>
      </c>
      <c r="J206" s="7" t="s">
        <v>32</v>
      </c>
      <c r="K206" s="7" t="s">
        <v>22</v>
      </c>
      <c r="L206" t="s">
        <v>40</v>
      </c>
      <c r="M206" s="9">
        <v>621.15</v>
      </c>
      <c r="N206" s="4">
        <v>1</v>
      </c>
      <c r="O206" s="12">
        <v>0.1</v>
      </c>
      <c r="P206" s="9">
        <v>-14.21</v>
      </c>
      <c r="Q206" s="10">
        <f>Table1[[#This Row],[Profit]]/Table1[[#This Row],[Sales]]</f>
        <v>-2.2876921838525317E-2</v>
      </c>
      <c r="R206" t="str">
        <f>IF(Table1[[#This Row],[Profit Margin]]&gt;0,"profit","loss")</f>
        <v>loss</v>
      </c>
      <c r="S206" t="str">
        <f>IF(Table1[[#This Row],[Discount]]=0,"No Discount",IF(Table1[[#This Row],[Discount]]&lt;=0.2,"low",IF(Table1[[#This Row],[Discount]]&lt;=0.3,"medium","high")))</f>
        <v>low</v>
      </c>
      <c r="T206" s="15" t="str">
        <f>IF(Table1[[#This Row],[Days]]&lt;=2,"faster",IF(Table1[[#This Row],[Days]]&lt;=4,"Normal","slow"))</f>
        <v>Normal</v>
      </c>
    </row>
    <row r="207" spans="1:20" x14ac:dyDescent="0.25">
      <c r="A207" s="4" t="s">
        <v>240</v>
      </c>
      <c r="B207" s="1">
        <v>45248</v>
      </c>
      <c r="C207" s="1">
        <v>45254</v>
      </c>
      <c r="D207" s="13">
        <f>Table1[[#This Row],[Shipped date]]-Table1[[#This Row],[Order Date]]</f>
        <v>6</v>
      </c>
      <c r="E207" t="s">
        <v>19</v>
      </c>
      <c r="F207" s="13" t="str">
        <f>TEXT(Table1[[#This Row],[Order Date]],"MMMM")</f>
        <v>November</v>
      </c>
      <c r="G207" s="13">
        <f t="shared" si="6"/>
        <v>2023</v>
      </c>
      <c r="H207" s="13" t="str">
        <f t="shared" si="7"/>
        <v>Q4</v>
      </c>
      <c r="I207" s="1" t="s">
        <v>37</v>
      </c>
      <c r="J207" s="7" t="s">
        <v>21</v>
      </c>
      <c r="K207" s="7" t="s">
        <v>29</v>
      </c>
      <c r="L207" t="s">
        <v>30</v>
      </c>
      <c r="M207" s="9">
        <v>879.13</v>
      </c>
      <c r="N207" s="4">
        <v>2</v>
      </c>
      <c r="O207" s="12">
        <v>0.2</v>
      </c>
      <c r="P207" s="9">
        <v>-104.75</v>
      </c>
      <c r="Q207" s="10">
        <f>Table1[[#This Row],[Profit]]/Table1[[#This Row],[Sales]]</f>
        <v>-0.11915188879915371</v>
      </c>
      <c r="R207" t="str">
        <f>IF(Table1[[#This Row],[Profit Margin]]&gt;0,"profit","loss")</f>
        <v>loss</v>
      </c>
      <c r="S207" t="str">
        <f>IF(Table1[[#This Row],[Discount]]=0,"No Discount",IF(Table1[[#This Row],[Discount]]&lt;=0.2,"low",IF(Table1[[#This Row],[Discount]]&lt;=0.3,"medium","high")))</f>
        <v>low</v>
      </c>
      <c r="T207" s="15" t="str">
        <f>IF(Table1[[#This Row],[Days]]&lt;=2,"faster",IF(Table1[[#This Row],[Days]]&lt;=4,"Normal","slow"))</f>
        <v>slow</v>
      </c>
    </row>
    <row r="208" spans="1:20" x14ac:dyDescent="0.25">
      <c r="A208" s="4" t="s">
        <v>241</v>
      </c>
      <c r="B208" s="1">
        <v>45222</v>
      </c>
      <c r="C208" s="1">
        <v>45224</v>
      </c>
      <c r="D208" s="13">
        <f>Table1[[#This Row],[Shipped date]]-Table1[[#This Row],[Order Date]]</f>
        <v>2</v>
      </c>
      <c r="E208" t="s">
        <v>28</v>
      </c>
      <c r="F208" s="13" t="str">
        <f>TEXT(Table1[[#This Row],[Order Date]],"MMMM")</f>
        <v>October</v>
      </c>
      <c r="G208" s="13">
        <f t="shared" si="6"/>
        <v>2023</v>
      </c>
      <c r="H208" s="13" t="str">
        <f t="shared" si="7"/>
        <v>Q4</v>
      </c>
      <c r="I208" s="1" t="s">
        <v>14</v>
      </c>
      <c r="J208" s="7" t="s">
        <v>32</v>
      </c>
      <c r="K208" s="7" t="s">
        <v>22</v>
      </c>
      <c r="L208" t="s">
        <v>35</v>
      </c>
      <c r="M208" s="9">
        <v>45.84</v>
      </c>
      <c r="N208" s="4">
        <v>7</v>
      </c>
      <c r="O208" s="12">
        <v>0</v>
      </c>
      <c r="P208" s="9">
        <v>39.020000000000003</v>
      </c>
      <c r="Q208" s="10">
        <f>Table1[[#This Row],[Profit]]/Table1[[#This Row],[Sales]]</f>
        <v>0.85122164048865623</v>
      </c>
      <c r="R208" t="str">
        <f>IF(Table1[[#This Row],[Profit Margin]]&gt;0,"profit","loss")</f>
        <v>profit</v>
      </c>
      <c r="S208" t="str">
        <f>IF(Table1[[#This Row],[Discount]]=0,"No Discount",IF(Table1[[#This Row],[Discount]]&lt;=0.2,"low",IF(Table1[[#This Row],[Discount]]&lt;=0.3,"medium","high")))</f>
        <v>No Discount</v>
      </c>
      <c r="T208" s="15" t="str">
        <f>IF(Table1[[#This Row],[Days]]&lt;=2,"faster",IF(Table1[[#This Row],[Days]]&lt;=4,"Normal","slow"))</f>
        <v>faster</v>
      </c>
    </row>
    <row r="209" spans="1:20" x14ac:dyDescent="0.25">
      <c r="A209" s="4" t="s">
        <v>242</v>
      </c>
      <c r="B209" s="1">
        <v>45287</v>
      </c>
      <c r="C209" s="1">
        <v>45288</v>
      </c>
      <c r="D209" s="13">
        <f>Table1[[#This Row],[Shipped date]]-Table1[[#This Row],[Order Date]]</f>
        <v>1</v>
      </c>
      <c r="E209" t="s">
        <v>13</v>
      </c>
      <c r="F209" s="13" t="str">
        <f>TEXT(Table1[[#This Row],[Order Date]],"MMMM")</f>
        <v>December</v>
      </c>
      <c r="G209" s="13">
        <f t="shared" si="6"/>
        <v>2023</v>
      </c>
      <c r="H209" s="13" t="str">
        <f t="shared" si="7"/>
        <v>Q4</v>
      </c>
      <c r="I209" s="1" t="s">
        <v>37</v>
      </c>
      <c r="J209" s="7" t="s">
        <v>15</v>
      </c>
      <c r="K209" s="7" t="s">
        <v>16</v>
      </c>
      <c r="L209" t="s">
        <v>33</v>
      </c>
      <c r="M209" s="9">
        <v>490.76</v>
      </c>
      <c r="N209" s="4">
        <v>3</v>
      </c>
      <c r="O209" s="12">
        <v>0.2</v>
      </c>
      <c r="P209" s="9">
        <v>-58.55</v>
      </c>
      <c r="Q209" s="10">
        <f>Table1[[#This Row],[Profit]]/Table1[[#This Row],[Sales]]</f>
        <v>-0.11930475181351373</v>
      </c>
      <c r="R209" t="str">
        <f>IF(Table1[[#This Row],[Profit Margin]]&gt;0,"profit","loss")</f>
        <v>loss</v>
      </c>
      <c r="S209" t="str">
        <f>IF(Table1[[#This Row],[Discount]]=0,"No Discount",IF(Table1[[#This Row],[Discount]]&lt;=0.2,"low",IF(Table1[[#This Row],[Discount]]&lt;=0.3,"medium","high")))</f>
        <v>low</v>
      </c>
      <c r="T209" s="15" t="str">
        <f>IF(Table1[[#This Row],[Days]]&lt;=2,"faster",IF(Table1[[#This Row],[Days]]&lt;=4,"Normal","slow"))</f>
        <v>faster</v>
      </c>
    </row>
    <row r="210" spans="1:20" x14ac:dyDescent="0.25">
      <c r="A210" s="4" t="s">
        <v>243</v>
      </c>
      <c r="B210" s="1">
        <v>44979</v>
      </c>
      <c r="C210" s="1">
        <v>44986</v>
      </c>
      <c r="D210" s="13">
        <f>Table1[[#This Row],[Shipped date]]-Table1[[#This Row],[Order Date]]</f>
        <v>7</v>
      </c>
      <c r="E210" t="s">
        <v>25</v>
      </c>
      <c r="F210" s="13" t="str">
        <f>TEXT(Table1[[#This Row],[Order Date]],"MMMM")</f>
        <v>February</v>
      </c>
      <c r="G210" s="13">
        <f t="shared" si="6"/>
        <v>2023</v>
      </c>
      <c r="H210" s="13" t="str">
        <f t="shared" si="7"/>
        <v>Q1</v>
      </c>
      <c r="I210" s="1" t="s">
        <v>37</v>
      </c>
      <c r="J210" s="7" t="s">
        <v>26</v>
      </c>
      <c r="K210" s="7" t="s">
        <v>22</v>
      </c>
      <c r="L210" t="s">
        <v>23</v>
      </c>
      <c r="M210" s="9">
        <v>602.25</v>
      </c>
      <c r="N210" s="4">
        <v>2</v>
      </c>
      <c r="O210" s="12">
        <v>0.2</v>
      </c>
      <c r="P210" s="9">
        <v>-52.72</v>
      </c>
      <c r="Q210" s="10">
        <f>Table1[[#This Row],[Profit]]/Table1[[#This Row],[Sales]]</f>
        <v>-8.7538397675383975E-2</v>
      </c>
      <c r="R210" t="str">
        <f>IF(Table1[[#This Row],[Profit Margin]]&gt;0,"profit","loss")</f>
        <v>loss</v>
      </c>
      <c r="S210" t="str">
        <f>IF(Table1[[#This Row],[Discount]]=0,"No Discount",IF(Table1[[#This Row],[Discount]]&lt;=0.2,"low",IF(Table1[[#This Row],[Discount]]&lt;=0.3,"medium","high")))</f>
        <v>low</v>
      </c>
      <c r="T210" s="15" t="str">
        <f>IF(Table1[[#This Row],[Days]]&lt;=2,"faster",IF(Table1[[#This Row],[Days]]&lt;=4,"Normal","slow"))</f>
        <v>slow</v>
      </c>
    </row>
    <row r="211" spans="1:20" x14ac:dyDescent="0.25">
      <c r="A211" s="4" t="s">
        <v>244</v>
      </c>
      <c r="B211" s="1">
        <v>45054</v>
      </c>
      <c r="C211" s="1">
        <v>45055</v>
      </c>
      <c r="D211" s="13">
        <f>Table1[[#This Row],[Shipped date]]-Table1[[#This Row],[Order Date]]</f>
        <v>1</v>
      </c>
      <c r="E211" t="s">
        <v>13</v>
      </c>
      <c r="F211" s="13" t="str">
        <f>TEXT(Table1[[#This Row],[Order Date]],"MMMM")</f>
        <v>May</v>
      </c>
      <c r="G211" s="13">
        <f t="shared" si="6"/>
        <v>2023</v>
      </c>
      <c r="H211" s="13" t="str">
        <f t="shared" si="7"/>
        <v>Q2</v>
      </c>
      <c r="I211" s="1" t="s">
        <v>37</v>
      </c>
      <c r="J211" s="7" t="s">
        <v>21</v>
      </c>
      <c r="K211" s="7" t="s">
        <v>29</v>
      </c>
      <c r="L211" t="s">
        <v>45</v>
      </c>
      <c r="M211" s="9">
        <v>832.58</v>
      </c>
      <c r="N211" s="4">
        <v>2</v>
      </c>
      <c r="O211" s="12">
        <v>0</v>
      </c>
      <c r="P211" s="9">
        <v>121.94</v>
      </c>
      <c r="Q211" s="10">
        <f>Table1[[#This Row],[Profit]]/Table1[[#This Row],[Sales]]</f>
        <v>0.14646040020178241</v>
      </c>
      <c r="R211" t="str">
        <f>IF(Table1[[#This Row],[Profit Margin]]&gt;0,"profit","loss")</f>
        <v>profit</v>
      </c>
      <c r="S211" t="str">
        <f>IF(Table1[[#This Row],[Discount]]=0,"No Discount",IF(Table1[[#This Row],[Discount]]&lt;=0.2,"low",IF(Table1[[#This Row],[Discount]]&lt;=0.3,"medium","high")))</f>
        <v>No Discount</v>
      </c>
      <c r="T211" s="15" t="str">
        <f>IF(Table1[[#This Row],[Days]]&lt;=2,"faster",IF(Table1[[#This Row],[Days]]&lt;=4,"Normal","slow"))</f>
        <v>faster</v>
      </c>
    </row>
    <row r="212" spans="1:20" x14ac:dyDescent="0.25">
      <c r="A212" s="4" t="s">
        <v>245</v>
      </c>
      <c r="B212" s="1">
        <v>45065</v>
      </c>
      <c r="C212" s="1">
        <v>45071</v>
      </c>
      <c r="D212" s="13">
        <f>Table1[[#This Row],[Shipped date]]-Table1[[#This Row],[Order Date]]</f>
        <v>6</v>
      </c>
      <c r="E212" t="s">
        <v>25</v>
      </c>
      <c r="F212" s="13" t="str">
        <f>TEXT(Table1[[#This Row],[Order Date]],"MMMM")</f>
        <v>May</v>
      </c>
      <c r="G212" s="13">
        <f t="shared" si="6"/>
        <v>2023</v>
      </c>
      <c r="H212" s="13" t="str">
        <f t="shared" si="7"/>
        <v>Q2</v>
      </c>
      <c r="I212" s="1" t="s">
        <v>37</v>
      </c>
      <c r="J212" s="7" t="s">
        <v>32</v>
      </c>
      <c r="K212" s="7" t="s">
        <v>22</v>
      </c>
      <c r="L212" t="s">
        <v>35</v>
      </c>
      <c r="M212" s="9">
        <v>479.32</v>
      </c>
      <c r="N212" s="4">
        <v>9</v>
      </c>
      <c r="O212" s="12">
        <v>0.2</v>
      </c>
      <c r="P212" s="9">
        <v>-58.56</v>
      </c>
      <c r="Q212" s="10">
        <f>Table1[[#This Row],[Profit]]/Table1[[#This Row],[Sales]]</f>
        <v>-0.12217307852791455</v>
      </c>
      <c r="R212" t="str">
        <f>IF(Table1[[#This Row],[Profit Margin]]&gt;0,"profit","loss")</f>
        <v>loss</v>
      </c>
      <c r="S212" t="str">
        <f>IF(Table1[[#This Row],[Discount]]=0,"No Discount",IF(Table1[[#This Row],[Discount]]&lt;=0.2,"low",IF(Table1[[#This Row],[Discount]]&lt;=0.3,"medium","high")))</f>
        <v>low</v>
      </c>
      <c r="T212" s="15" t="str">
        <f>IF(Table1[[#This Row],[Days]]&lt;=2,"faster",IF(Table1[[#This Row],[Days]]&lt;=4,"Normal","slow"))</f>
        <v>slow</v>
      </c>
    </row>
    <row r="213" spans="1:20" x14ac:dyDescent="0.25">
      <c r="A213" s="4" t="s">
        <v>246</v>
      </c>
      <c r="B213" s="1">
        <v>45231</v>
      </c>
      <c r="C213" s="1">
        <v>45232</v>
      </c>
      <c r="D213" s="13">
        <f>Table1[[#This Row],[Shipped date]]-Table1[[#This Row],[Order Date]]</f>
        <v>1</v>
      </c>
      <c r="E213" t="s">
        <v>13</v>
      </c>
      <c r="F213" s="13" t="str">
        <f>TEXT(Table1[[#This Row],[Order Date]],"MMMM")</f>
        <v>November</v>
      </c>
      <c r="G213" s="13">
        <f t="shared" si="6"/>
        <v>2023</v>
      </c>
      <c r="H213" s="13" t="str">
        <f t="shared" si="7"/>
        <v>Q4</v>
      </c>
      <c r="I213" s="1" t="s">
        <v>20</v>
      </c>
      <c r="J213" s="7" t="s">
        <v>21</v>
      </c>
      <c r="K213" s="7" t="s">
        <v>29</v>
      </c>
      <c r="L213" t="s">
        <v>45</v>
      </c>
      <c r="M213" s="9">
        <v>33.4</v>
      </c>
      <c r="N213" s="4">
        <v>5</v>
      </c>
      <c r="O213" s="12">
        <v>0.2</v>
      </c>
      <c r="P213" s="9">
        <v>37.19</v>
      </c>
      <c r="Q213" s="10">
        <f>Table1[[#This Row],[Profit]]/Table1[[#This Row],[Sales]]</f>
        <v>1.1134730538922155</v>
      </c>
      <c r="R213" t="str">
        <f>IF(Table1[[#This Row],[Profit Margin]]&gt;0,"profit","loss")</f>
        <v>profit</v>
      </c>
      <c r="S213" t="str">
        <f>IF(Table1[[#This Row],[Discount]]=0,"No Discount",IF(Table1[[#This Row],[Discount]]&lt;=0.2,"low",IF(Table1[[#This Row],[Discount]]&lt;=0.3,"medium","high")))</f>
        <v>low</v>
      </c>
      <c r="T213" s="15" t="str">
        <f>IF(Table1[[#This Row],[Days]]&lt;=2,"faster",IF(Table1[[#This Row],[Days]]&lt;=4,"Normal","slow"))</f>
        <v>faster</v>
      </c>
    </row>
    <row r="214" spans="1:20" x14ac:dyDescent="0.25">
      <c r="A214" s="4" t="s">
        <v>247</v>
      </c>
      <c r="B214" s="1">
        <v>45210</v>
      </c>
      <c r="C214" s="1">
        <v>45217</v>
      </c>
      <c r="D214" s="13">
        <f>Table1[[#This Row],[Shipped date]]-Table1[[#This Row],[Order Date]]</f>
        <v>7</v>
      </c>
      <c r="E214" t="s">
        <v>25</v>
      </c>
      <c r="F214" s="13" t="str">
        <f>TEXT(Table1[[#This Row],[Order Date]],"MMMM")</f>
        <v>October</v>
      </c>
      <c r="G214" s="13">
        <f t="shared" si="6"/>
        <v>2023</v>
      </c>
      <c r="H214" s="13" t="str">
        <f t="shared" si="7"/>
        <v>Q4</v>
      </c>
      <c r="I214" s="1" t="s">
        <v>14</v>
      </c>
      <c r="J214" s="7" t="s">
        <v>21</v>
      </c>
      <c r="K214" s="7" t="s">
        <v>29</v>
      </c>
      <c r="L214" t="s">
        <v>30</v>
      </c>
      <c r="M214" s="9">
        <v>816.64</v>
      </c>
      <c r="N214" s="4">
        <v>3</v>
      </c>
      <c r="O214" s="12">
        <v>0.2</v>
      </c>
      <c r="P214" s="9">
        <v>-49.17</v>
      </c>
      <c r="Q214" s="10">
        <f>Table1[[#This Row],[Profit]]/Table1[[#This Row],[Sales]]</f>
        <v>-6.0210129310344827E-2</v>
      </c>
      <c r="R214" t="str">
        <f>IF(Table1[[#This Row],[Profit Margin]]&gt;0,"profit","loss")</f>
        <v>loss</v>
      </c>
      <c r="S214" t="str">
        <f>IF(Table1[[#This Row],[Discount]]=0,"No Discount",IF(Table1[[#This Row],[Discount]]&lt;=0.2,"low",IF(Table1[[#This Row],[Discount]]&lt;=0.3,"medium","high")))</f>
        <v>low</v>
      </c>
      <c r="T214" s="15" t="str">
        <f>IF(Table1[[#This Row],[Days]]&lt;=2,"faster",IF(Table1[[#This Row],[Days]]&lt;=4,"Normal","slow"))</f>
        <v>slow</v>
      </c>
    </row>
    <row r="215" spans="1:20" x14ac:dyDescent="0.25">
      <c r="A215" s="4" t="s">
        <v>248</v>
      </c>
      <c r="B215" s="1">
        <v>45086</v>
      </c>
      <c r="C215" s="1">
        <v>45093</v>
      </c>
      <c r="D215" s="13">
        <f>Table1[[#This Row],[Shipped date]]-Table1[[#This Row],[Order Date]]</f>
        <v>7</v>
      </c>
      <c r="E215" t="s">
        <v>13</v>
      </c>
      <c r="F215" s="13" t="str">
        <f>TEXT(Table1[[#This Row],[Order Date]],"MMMM")</f>
        <v>June</v>
      </c>
      <c r="G215" s="13">
        <f t="shared" si="6"/>
        <v>2023</v>
      </c>
      <c r="H215" s="13" t="str">
        <f t="shared" si="7"/>
        <v>Q2</v>
      </c>
      <c r="I215" s="1" t="s">
        <v>37</v>
      </c>
      <c r="J215" s="7" t="s">
        <v>15</v>
      </c>
      <c r="K215" s="7" t="s">
        <v>29</v>
      </c>
      <c r="L215" t="s">
        <v>43</v>
      </c>
      <c r="M215" s="9">
        <v>914.9</v>
      </c>
      <c r="N215" s="4">
        <v>2</v>
      </c>
      <c r="O215" s="12">
        <v>0.2</v>
      </c>
      <c r="P215" s="9">
        <v>-57.66</v>
      </c>
      <c r="Q215" s="10">
        <f>Table1[[#This Row],[Profit]]/Table1[[#This Row],[Sales]]</f>
        <v>-6.3023281232921627E-2</v>
      </c>
      <c r="R215" t="str">
        <f>IF(Table1[[#This Row],[Profit Margin]]&gt;0,"profit","loss")</f>
        <v>loss</v>
      </c>
      <c r="S215" t="str">
        <f>IF(Table1[[#This Row],[Discount]]=0,"No Discount",IF(Table1[[#This Row],[Discount]]&lt;=0.2,"low",IF(Table1[[#This Row],[Discount]]&lt;=0.3,"medium","high")))</f>
        <v>low</v>
      </c>
      <c r="T215" s="15" t="str">
        <f>IF(Table1[[#This Row],[Days]]&lt;=2,"faster",IF(Table1[[#This Row],[Days]]&lt;=4,"Normal","slow"))</f>
        <v>slow</v>
      </c>
    </row>
    <row r="216" spans="1:20" x14ac:dyDescent="0.25">
      <c r="A216" s="4" t="s">
        <v>249</v>
      </c>
      <c r="B216" s="1">
        <v>44974</v>
      </c>
      <c r="C216" s="1">
        <v>44981</v>
      </c>
      <c r="D216" s="13">
        <f>Table1[[#This Row],[Shipped date]]-Table1[[#This Row],[Order Date]]</f>
        <v>7</v>
      </c>
      <c r="E216" t="s">
        <v>25</v>
      </c>
      <c r="F216" s="13" t="str">
        <f>TEXT(Table1[[#This Row],[Order Date]],"MMMM")</f>
        <v>February</v>
      </c>
      <c r="G216" s="13">
        <f t="shared" si="6"/>
        <v>2023</v>
      </c>
      <c r="H216" s="13" t="str">
        <f t="shared" si="7"/>
        <v>Q1</v>
      </c>
      <c r="I216" s="1" t="s">
        <v>20</v>
      </c>
      <c r="J216" s="7" t="s">
        <v>32</v>
      </c>
      <c r="K216" s="7" t="s">
        <v>22</v>
      </c>
      <c r="L216" t="s">
        <v>35</v>
      </c>
      <c r="M216" s="9">
        <v>945.87</v>
      </c>
      <c r="N216" s="4">
        <v>6</v>
      </c>
      <c r="O216" s="12">
        <v>0.1</v>
      </c>
      <c r="P216" s="9">
        <v>6.45</v>
      </c>
      <c r="Q216" s="10">
        <f>Table1[[#This Row],[Profit]]/Table1[[#This Row],[Sales]]</f>
        <v>6.8191189064036282E-3</v>
      </c>
      <c r="R216" t="str">
        <f>IF(Table1[[#This Row],[Profit Margin]]&gt;0,"profit","loss")</f>
        <v>profit</v>
      </c>
      <c r="S216" t="str">
        <f>IF(Table1[[#This Row],[Discount]]=0,"No Discount",IF(Table1[[#This Row],[Discount]]&lt;=0.2,"low",IF(Table1[[#This Row],[Discount]]&lt;=0.3,"medium","high")))</f>
        <v>low</v>
      </c>
      <c r="T216" s="15" t="str">
        <f>IF(Table1[[#This Row],[Days]]&lt;=2,"faster",IF(Table1[[#This Row],[Days]]&lt;=4,"Normal","slow"))</f>
        <v>slow</v>
      </c>
    </row>
    <row r="217" spans="1:20" x14ac:dyDescent="0.25">
      <c r="A217" s="4" t="s">
        <v>250</v>
      </c>
      <c r="B217" s="1">
        <v>44944</v>
      </c>
      <c r="C217" s="1">
        <v>44948</v>
      </c>
      <c r="D217" s="13">
        <f>Table1[[#This Row],[Shipped date]]-Table1[[#This Row],[Order Date]]</f>
        <v>4</v>
      </c>
      <c r="E217" t="s">
        <v>28</v>
      </c>
      <c r="F217" s="13" t="str">
        <f>TEXT(Table1[[#This Row],[Order Date]],"MMMM")</f>
        <v>January</v>
      </c>
      <c r="G217" s="13">
        <f t="shared" si="6"/>
        <v>2023</v>
      </c>
      <c r="H217" s="13" t="str">
        <f t="shared" si="7"/>
        <v>Q1</v>
      </c>
      <c r="I217" s="1" t="s">
        <v>37</v>
      </c>
      <c r="J217" s="7" t="s">
        <v>26</v>
      </c>
      <c r="K217" s="7" t="s">
        <v>29</v>
      </c>
      <c r="L217" t="s">
        <v>30</v>
      </c>
      <c r="M217" s="9">
        <v>256.26</v>
      </c>
      <c r="N217" s="4">
        <v>10</v>
      </c>
      <c r="O217" s="12">
        <v>0</v>
      </c>
      <c r="P217" s="9">
        <v>14.67</v>
      </c>
      <c r="Q217" s="10">
        <f>Table1[[#This Row],[Profit]]/Table1[[#This Row],[Sales]]</f>
        <v>5.7246546476235075E-2</v>
      </c>
      <c r="R217" t="str">
        <f>IF(Table1[[#This Row],[Profit Margin]]&gt;0,"profit","loss")</f>
        <v>profit</v>
      </c>
      <c r="S217" t="str">
        <f>IF(Table1[[#This Row],[Discount]]=0,"No Discount",IF(Table1[[#This Row],[Discount]]&lt;=0.2,"low",IF(Table1[[#This Row],[Discount]]&lt;=0.3,"medium","high")))</f>
        <v>No Discount</v>
      </c>
      <c r="T217" s="15" t="str">
        <f>IF(Table1[[#This Row],[Days]]&lt;=2,"faster",IF(Table1[[#This Row],[Days]]&lt;=4,"Normal","slow"))</f>
        <v>Normal</v>
      </c>
    </row>
    <row r="218" spans="1:20" x14ac:dyDescent="0.25">
      <c r="A218" s="4" t="s">
        <v>251</v>
      </c>
      <c r="B218" s="1">
        <v>45172</v>
      </c>
      <c r="C218" s="1">
        <v>45173</v>
      </c>
      <c r="D218" s="13">
        <f>Table1[[#This Row],[Shipped date]]-Table1[[#This Row],[Order Date]]</f>
        <v>1</v>
      </c>
      <c r="E218" t="s">
        <v>19</v>
      </c>
      <c r="F218" s="13" t="str">
        <f>TEXT(Table1[[#This Row],[Order Date]],"MMMM")</f>
        <v>September</v>
      </c>
      <c r="G218" s="13">
        <f t="shared" si="6"/>
        <v>2023</v>
      </c>
      <c r="H218" s="13" t="str">
        <f t="shared" si="7"/>
        <v>Q3</v>
      </c>
      <c r="I218" s="1" t="s">
        <v>20</v>
      </c>
      <c r="J218" s="7" t="s">
        <v>32</v>
      </c>
      <c r="K218" s="7" t="s">
        <v>22</v>
      </c>
      <c r="L218" t="s">
        <v>40</v>
      </c>
      <c r="M218" s="9">
        <v>954.97</v>
      </c>
      <c r="N218" s="4">
        <v>4</v>
      </c>
      <c r="O218" s="12">
        <v>0</v>
      </c>
      <c r="P218" s="9">
        <v>90</v>
      </c>
      <c r="Q218" s="10">
        <f>Table1[[#This Row],[Profit]]/Table1[[#This Row],[Sales]]</f>
        <v>9.4243798234499507E-2</v>
      </c>
      <c r="R218" t="str">
        <f>IF(Table1[[#This Row],[Profit Margin]]&gt;0,"profit","loss")</f>
        <v>profit</v>
      </c>
      <c r="S218" t="str">
        <f>IF(Table1[[#This Row],[Discount]]=0,"No Discount",IF(Table1[[#This Row],[Discount]]&lt;=0.2,"low",IF(Table1[[#This Row],[Discount]]&lt;=0.3,"medium","high")))</f>
        <v>No Discount</v>
      </c>
      <c r="T218" s="15" t="str">
        <f>IF(Table1[[#This Row],[Days]]&lt;=2,"faster",IF(Table1[[#This Row],[Days]]&lt;=4,"Normal","slow"))</f>
        <v>faster</v>
      </c>
    </row>
    <row r="219" spans="1:20" x14ac:dyDescent="0.25">
      <c r="A219" s="4" t="s">
        <v>252</v>
      </c>
      <c r="B219" s="1">
        <v>44962</v>
      </c>
      <c r="C219" s="1">
        <v>44965</v>
      </c>
      <c r="D219" s="13">
        <f>Table1[[#This Row],[Shipped date]]-Table1[[#This Row],[Order Date]]</f>
        <v>3</v>
      </c>
      <c r="E219" t="s">
        <v>25</v>
      </c>
      <c r="F219" s="13" t="str">
        <f>TEXT(Table1[[#This Row],[Order Date]],"MMMM")</f>
        <v>February</v>
      </c>
      <c r="G219" s="13">
        <f t="shared" si="6"/>
        <v>2023</v>
      </c>
      <c r="H219" s="13" t="str">
        <f t="shared" si="7"/>
        <v>Q1</v>
      </c>
      <c r="I219" s="1" t="s">
        <v>37</v>
      </c>
      <c r="J219" s="7" t="s">
        <v>15</v>
      </c>
      <c r="K219" s="7" t="s">
        <v>29</v>
      </c>
      <c r="L219" t="s">
        <v>45</v>
      </c>
      <c r="M219" s="9">
        <v>880.66</v>
      </c>
      <c r="N219" s="4">
        <v>8</v>
      </c>
      <c r="O219" s="12">
        <v>0.3</v>
      </c>
      <c r="P219" s="9">
        <v>-152.86000000000001</v>
      </c>
      <c r="Q219" s="10">
        <f>Table1[[#This Row],[Profit]]/Table1[[#This Row],[Sales]]</f>
        <v>-0.17357436468103471</v>
      </c>
      <c r="R219" t="str">
        <f>IF(Table1[[#This Row],[Profit Margin]]&gt;0,"profit","loss")</f>
        <v>loss</v>
      </c>
      <c r="S219" t="str">
        <f>IF(Table1[[#This Row],[Discount]]=0,"No Discount",IF(Table1[[#This Row],[Discount]]&lt;=0.2,"low",IF(Table1[[#This Row],[Discount]]&lt;=0.3,"medium","high")))</f>
        <v>medium</v>
      </c>
      <c r="T219" s="15" t="str">
        <f>IF(Table1[[#This Row],[Days]]&lt;=2,"faster",IF(Table1[[#This Row],[Days]]&lt;=4,"Normal","slow"))</f>
        <v>Normal</v>
      </c>
    </row>
    <row r="220" spans="1:20" x14ac:dyDescent="0.25">
      <c r="A220" s="4" t="s">
        <v>253</v>
      </c>
      <c r="B220" s="1">
        <v>45001</v>
      </c>
      <c r="C220" s="1">
        <v>45007</v>
      </c>
      <c r="D220" s="13">
        <f>Table1[[#This Row],[Shipped date]]-Table1[[#This Row],[Order Date]]</f>
        <v>6</v>
      </c>
      <c r="E220" t="s">
        <v>28</v>
      </c>
      <c r="F220" s="13" t="str">
        <f>TEXT(Table1[[#This Row],[Order Date]],"MMMM")</f>
        <v>March</v>
      </c>
      <c r="G220" s="13">
        <f t="shared" si="6"/>
        <v>2023</v>
      </c>
      <c r="H220" s="13" t="str">
        <f t="shared" si="7"/>
        <v>Q1</v>
      </c>
      <c r="I220" s="1" t="s">
        <v>37</v>
      </c>
      <c r="J220" s="7" t="s">
        <v>26</v>
      </c>
      <c r="K220" s="7" t="s">
        <v>16</v>
      </c>
      <c r="L220" t="s">
        <v>38</v>
      </c>
      <c r="M220" s="9">
        <v>371</v>
      </c>
      <c r="N220" s="4">
        <v>9</v>
      </c>
      <c r="O220" s="12">
        <v>0.3</v>
      </c>
      <c r="P220" s="9">
        <v>-92.65</v>
      </c>
      <c r="Q220" s="10">
        <f>Table1[[#This Row],[Profit]]/Table1[[#This Row],[Sales]]</f>
        <v>-0.24973045822102427</v>
      </c>
      <c r="R220" t="str">
        <f>IF(Table1[[#This Row],[Profit Margin]]&gt;0,"profit","loss")</f>
        <v>loss</v>
      </c>
      <c r="S220" t="str">
        <f>IF(Table1[[#This Row],[Discount]]=0,"No Discount",IF(Table1[[#This Row],[Discount]]&lt;=0.2,"low",IF(Table1[[#This Row],[Discount]]&lt;=0.3,"medium","high")))</f>
        <v>medium</v>
      </c>
      <c r="T220" s="15" t="str">
        <f>IF(Table1[[#This Row],[Days]]&lt;=2,"faster",IF(Table1[[#This Row],[Days]]&lt;=4,"Normal","slow"))</f>
        <v>slow</v>
      </c>
    </row>
    <row r="221" spans="1:20" x14ac:dyDescent="0.25">
      <c r="A221" s="4" t="s">
        <v>254</v>
      </c>
      <c r="B221" s="1">
        <v>45002</v>
      </c>
      <c r="C221" s="1">
        <v>45009</v>
      </c>
      <c r="D221" s="13">
        <f>Table1[[#This Row],[Shipped date]]-Table1[[#This Row],[Order Date]]</f>
        <v>7</v>
      </c>
      <c r="E221" t="s">
        <v>19</v>
      </c>
      <c r="F221" s="13" t="str">
        <f>TEXT(Table1[[#This Row],[Order Date]],"MMMM")</f>
        <v>March</v>
      </c>
      <c r="G221" s="13">
        <f t="shared" si="6"/>
        <v>2023</v>
      </c>
      <c r="H221" s="13" t="str">
        <f t="shared" si="7"/>
        <v>Q1</v>
      </c>
      <c r="I221" s="1" t="s">
        <v>14</v>
      </c>
      <c r="J221" s="7" t="s">
        <v>26</v>
      </c>
      <c r="K221" s="7" t="s">
        <v>22</v>
      </c>
      <c r="L221" t="s">
        <v>35</v>
      </c>
      <c r="M221" s="9">
        <v>508.2</v>
      </c>
      <c r="N221" s="4">
        <v>10</v>
      </c>
      <c r="O221" s="12">
        <v>0.1</v>
      </c>
      <c r="P221" s="9">
        <v>34.06</v>
      </c>
      <c r="Q221" s="10">
        <f>Table1[[#This Row],[Profit]]/Table1[[#This Row],[Sales]]</f>
        <v>6.7020857929948843E-2</v>
      </c>
      <c r="R221" t="str">
        <f>IF(Table1[[#This Row],[Profit Margin]]&gt;0,"profit","loss")</f>
        <v>profit</v>
      </c>
      <c r="S221" t="str">
        <f>IF(Table1[[#This Row],[Discount]]=0,"No Discount",IF(Table1[[#This Row],[Discount]]&lt;=0.2,"low",IF(Table1[[#This Row],[Discount]]&lt;=0.3,"medium","high")))</f>
        <v>low</v>
      </c>
      <c r="T221" s="15" t="str">
        <f>IF(Table1[[#This Row],[Days]]&lt;=2,"faster",IF(Table1[[#This Row],[Days]]&lt;=4,"Normal","slow"))</f>
        <v>slow</v>
      </c>
    </row>
    <row r="222" spans="1:20" x14ac:dyDescent="0.25">
      <c r="A222" s="4" t="s">
        <v>255</v>
      </c>
      <c r="B222" s="1">
        <v>44978</v>
      </c>
      <c r="C222" s="1">
        <v>44979</v>
      </c>
      <c r="D222" s="13">
        <f>Table1[[#This Row],[Shipped date]]-Table1[[#This Row],[Order Date]]</f>
        <v>1</v>
      </c>
      <c r="E222" t="s">
        <v>19</v>
      </c>
      <c r="F222" s="13" t="str">
        <f>TEXT(Table1[[#This Row],[Order Date]],"MMMM")</f>
        <v>February</v>
      </c>
      <c r="G222" s="13">
        <f t="shared" si="6"/>
        <v>2023</v>
      </c>
      <c r="H222" s="13" t="str">
        <f t="shared" si="7"/>
        <v>Q1</v>
      </c>
      <c r="I222" s="1" t="s">
        <v>14</v>
      </c>
      <c r="J222" s="7" t="s">
        <v>15</v>
      </c>
      <c r="K222" s="7" t="s">
        <v>22</v>
      </c>
      <c r="L222" t="s">
        <v>35</v>
      </c>
      <c r="M222" s="9">
        <v>529.76</v>
      </c>
      <c r="N222" s="4">
        <v>3</v>
      </c>
      <c r="O222" s="12">
        <v>0.3</v>
      </c>
      <c r="P222" s="9">
        <v>-68.8</v>
      </c>
      <c r="Q222" s="10">
        <f>Table1[[#This Row],[Profit]]/Table1[[#This Row],[Sales]]</f>
        <v>-0.12987012987012986</v>
      </c>
      <c r="R222" t="str">
        <f>IF(Table1[[#This Row],[Profit Margin]]&gt;0,"profit","loss")</f>
        <v>loss</v>
      </c>
      <c r="S222" t="str">
        <f>IF(Table1[[#This Row],[Discount]]=0,"No Discount",IF(Table1[[#This Row],[Discount]]&lt;=0.2,"low",IF(Table1[[#This Row],[Discount]]&lt;=0.3,"medium","high")))</f>
        <v>medium</v>
      </c>
      <c r="T222" s="15" t="str">
        <f>IF(Table1[[#This Row],[Days]]&lt;=2,"faster",IF(Table1[[#This Row],[Days]]&lt;=4,"Normal","slow"))</f>
        <v>faster</v>
      </c>
    </row>
    <row r="223" spans="1:20" x14ac:dyDescent="0.25">
      <c r="A223" s="4" t="s">
        <v>256</v>
      </c>
      <c r="B223" s="1">
        <v>45288</v>
      </c>
      <c r="C223" s="1">
        <v>45291</v>
      </c>
      <c r="D223" s="13">
        <f>Table1[[#This Row],[Shipped date]]-Table1[[#This Row],[Order Date]]</f>
        <v>3</v>
      </c>
      <c r="E223" t="s">
        <v>25</v>
      </c>
      <c r="F223" s="13" t="str">
        <f>TEXT(Table1[[#This Row],[Order Date]],"MMMM")</f>
        <v>December</v>
      </c>
      <c r="G223" s="13">
        <f t="shared" si="6"/>
        <v>2023</v>
      </c>
      <c r="H223" s="13" t="str">
        <f t="shared" si="7"/>
        <v>Q4</v>
      </c>
      <c r="I223" s="1" t="s">
        <v>37</v>
      </c>
      <c r="J223" s="7" t="s">
        <v>32</v>
      </c>
      <c r="K223" s="7" t="s">
        <v>29</v>
      </c>
      <c r="L223" t="s">
        <v>30</v>
      </c>
      <c r="M223" s="9">
        <v>968.61</v>
      </c>
      <c r="N223" s="4">
        <v>7</v>
      </c>
      <c r="O223" s="12">
        <v>0.1</v>
      </c>
      <c r="P223" s="9">
        <v>41.37</v>
      </c>
      <c r="Q223" s="10">
        <f>Table1[[#This Row],[Profit]]/Table1[[#This Row],[Sales]]</f>
        <v>4.2710688512404373E-2</v>
      </c>
      <c r="R223" t="str">
        <f>IF(Table1[[#This Row],[Profit Margin]]&gt;0,"profit","loss")</f>
        <v>profit</v>
      </c>
      <c r="S223" t="str">
        <f>IF(Table1[[#This Row],[Discount]]=0,"No Discount",IF(Table1[[#This Row],[Discount]]&lt;=0.2,"low",IF(Table1[[#This Row],[Discount]]&lt;=0.3,"medium","high")))</f>
        <v>low</v>
      </c>
      <c r="T223" s="15" t="str">
        <f>IF(Table1[[#This Row],[Days]]&lt;=2,"faster",IF(Table1[[#This Row],[Days]]&lt;=4,"Normal","slow"))</f>
        <v>Normal</v>
      </c>
    </row>
    <row r="224" spans="1:20" x14ac:dyDescent="0.25">
      <c r="A224" s="4" t="s">
        <v>257</v>
      </c>
      <c r="B224" s="1">
        <v>44989</v>
      </c>
      <c r="C224" s="1">
        <v>44991</v>
      </c>
      <c r="D224" s="13">
        <f>Table1[[#This Row],[Shipped date]]-Table1[[#This Row],[Order Date]]</f>
        <v>2</v>
      </c>
      <c r="E224" t="s">
        <v>25</v>
      </c>
      <c r="F224" s="13" t="str">
        <f>TEXT(Table1[[#This Row],[Order Date]],"MMMM")</f>
        <v>March</v>
      </c>
      <c r="G224" s="13">
        <f t="shared" si="6"/>
        <v>2023</v>
      </c>
      <c r="H224" s="13" t="str">
        <f t="shared" si="7"/>
        <v>Q1</v>
      </c>
      <c r="I224" s="1" t="s">
        <v>20</v>
      </c>
      <c r="J224" s="7" t="s">
        <v>21</v>
      </c>
      <c r="K224" s="7" t="s">
        <v>16</v>
      </c>
      <c r="L224" t="s">
        <v>17</v>
      </c>
      <c r="M224" s="9">
        <v>415.41</v>
      </c>
      <c r="N224" s="4">
        <v>7</v>
      </c>
      <c r="O224" s="12">
        <v>0.3</v>
      </c>
      <c r="P224" s="9">
        <v>-69.48</v>
      </c>
      <c r="Q224" s="10">
        <f>Table1[[#This Row],[Profit]]/Table1[[#This Row],[Sales]]</f>
        <v>-0.16725644543944537</v>
      </c>
      <c r="R224" t="str">
        <f>IF(Table1[[#This Row],[Profit Margin]]&gt;0,"profit","loss")</f>
        <v>loss</v>
      </c>
      <c r="S224" t="str">
        <f>IF(Table1[[#This Row],[Discount]]=0,"No Discount",IF(Table1[[#This Row],[Discount]]&lt;=0.2,"low",IF(Table1[[#This Row],[Discount]]&lt;=0.3,"medium","high")))</f>
        <v>medium</v>
      </c>
      <c r="T224" s="15" t="str">
        <f>IF(Table1[[#This Row],[Days]]&lt;=2,"faster",IF(Table1[[#This Row],[Days]]&lt;=4,"Normal","slow"))</f>
        <v>faster</v>
      </c>
    </row>
    <row r="225" spans="1:20" x14ac:dyDescent="0.25">
      <c r="A225" s="4" t="s">
        <v>258</v>
      </c>
      <c r="B225" s="1">
        <v>45055</v>
      </c>
      <c r="C225" s="1">
        <v>45059</v>
      </c>
      <c r="D225" s="13">
        <f>Table1[[#This Row],[Shipped date]]-Table1[[#This Row],[Order Date]]</f>
        <v>4</v>
      </c>
      <c r="E225" t="s">
        <v>25</v>
      </c>
      <c r="F225" s="13" t="str">
        <f>TEXT(Table1[[#This Row],[Order Date]],"MMMM")</f>
        <v>May</v>
      </c>
      <c r="G225" s="13">
        <f t="shared" si="6"/>
        <v>2023</v>
      </c>
      <c r="H225" s="13" t="str">
        <f t="shared" si="7"/>
        <v>Q2</v>
      </c>
      <c r="I225" s="1" t="s">
        <v>20</v>
      </c>
      <c r="J225" s="7" t="s">
        <v>21</v>
      </c>
      <c r="K225" s="7" t="s">
        <v>29</v>
      </c>
      <c r="L225" t="s">
        <v>43</v>
      </c>
      <c r="M225" s="9">
        <v>432.13</v>
      </c>
      <c r="N225" s="4">
        <v>1</v>
      </c>
      <c r="O225" s="12">
        <v>0</v>
      </c>
      <c r="P225" s="9">
        <v>66.63</v>
      </c>
      <c r="Q225" s="10">
        <f>Table1[[#This Row],[Profit]]/Table1[[#This Row],[Sales]]</f>
        <v>0.15418971142943094</v>
      </c>
      <c r="R225" t="str">
        <f>IF(Table1[[#This Row],[Profit Margin]]&gt;0,"profit","loss")</f>
        <v>profit</v>
      </c>
      <c r="S225" t="str">
        <f>IF(Table1[[#This Row],[Discount]]=0,"No Discount",IF(Table1[[#This Row],[Discount]]&lt;=0.2,"low",IF(Table1[[#This Row],[Discount]]&lt;=0.3,"medium","high")))</f>
        <v>No Discount</v>
      </c>
      <c r="T225" s="15" t="str">
        <f>IF(Table1[[#This Row],[Days]]&lt;=2,"faster",IF(Table1[[#This Row],[Days]]&lt;=4,"Normal","slow"))</f>
        <v>Normal</v>
      </c>
    </row>
    <row r="226" spans="1:20" x14ac:dyDescent="0.25">
      <c r="A226" s="4" t="s">
        <v>259</v>
      </c>
      <c r="B226" s="1">
        <v>45059</v>
      </c>
      <c r="C226" s="1">
        <v>45060</v>
      </c>
      <c r="D226" s="13">
        <f>Table1[[#This Row],[Shipped date]]-Table1[[#This Row],[Order Date]]</f>
        <v>1</v>
      </c>
      <c r="E226" t="s">
        <v>25</v>
      </c>
      <c r="F226" s="13" t="str">
        <f>TEXT(Table1[[#This Row],[Order Date]],"MMMM")</f>
        <v>May</v>
      </c>
      <c r="G226" s="13">
        <f t="shared" si="6"/>
        <v>2023</v>
      </c>
      <c r="H226" s="13" t="str">
        <f t="shared" si="7"/>
        <v>Q2</v>
      </c>
      <c r="I226" s="1" t="s">
        <v>14</v>
      </c>
      <c r="J226" s="7" t="s">
        <v>15</v>
      </c>
      <c r="K226" s="7" t="s">
        <v>16</v>
      </c>
      <c r="L226" t="s">
        <v>33</v>
      </c>
      <c r="M226" s="9">
        <v>710</v>
      </c>
      <c r="N226" s="4">
        <v>9</v>
      </c>
      <c r="O226" s="12">
        <v>0.2</v>
      </c>
      <c r="P226" s="9">
        <v>-27.78</v>
      </c>
      <c r="Q226" s="10">
        <f>Table1[[#This Row],[Profit]]/Table1[[#This Row],[Sales]]</f>
        <v>-3.9126760563380283E-2</v>
      </c>
      <c r="R226" t="str">
        <f>IF(Table1[[#This Row],[Profit Margin]]&gt;0,"profit","loss")</f>
        <v>loss</v>
      </c>
      <c r="S226" t="str">
        <f>IF(Table1[[#This Row],[Discount]]=0,"No Discount",IF(Table1[[#This Row],[Discount]]&lt;=0.2,"low",IF(Table1[[#This Row],[Discount]]&lt;=0.3,"medium","high")))</f>
        <v>low</v>
      </c>
      <c r="T226" s="15" t="str">
        <f>IF(Table1[[#This Row],[Days]]&lt;=2,"faster",IF(Table1[[#This Row],[Days]]&lt;=4,"Normal","slow"))</f>
        <v>faster</v>
      </c>
    </row>
    <row r="227" spans="1:20" x14ac:dyDescent="0.25">
      <c r="A227" s="4" t="s">
        <v>260</v>
      </c>
      <c r="B227" s="1">
        <v>45235</v>
      </c>
      <c r="C227" s="1">
        <v>45236</v>
      </c>
      <c r="D227" s="13">
        <f>Table1[[#This Row],[Shipped date]]-Table1[[#This Row],[Order Date]]</f>
        <v>1</v>
      </c>
      <c r="E227" t="s">
        <v>13</v>
      </c>
      <c r="F227" s="13" t="str">
        <f>TEXT(Table1[[#This Row],[Order Date]],"MMMM")</f>
        <v>November</v>
      </c>
      <c r="G227" s="13">
        <f t="shared" si="6"/>
        <v>2023</v>
      </c>
      <c r="H227" s="13" t="str">
        <f t="shared" si="7"/>
        <v>Q4</v>
      </c>
      <c r="I227" s="1" t="s">
        <v>14</v>
      </c>
      <c r="J227" s="7" t="s">
        <v>15</v>
      </c>
      <c r="K227" s="7" t="s">
        <v>29</v>
      </c>
      <c r="L227" t="s">
        <v>45</v>
      </c>
      <c r="M227" s="9">
        <v>624.91999999999996</v>
      </c>
      <c r="N227" s="4">
        <v>5</v>
      </c>
      <c r="O227" s="12">
        <v>0.1</v>
      </c>
      <c r="P227" s="9">
        <v>4.54</v>
      </c>
      <c r="Q227" s="10">
        <f>Table1[[#This Row],[Profit]]/Table1[[#This Row],[Sales]]</f>
        <v>7.2649299110286126E-3</v>
      </c>
      <c r="R227" t="str">
        <f>IF(Table1[[#This Row],[Profit Margin]]&gt;0,"profit","loss")</f>
        <v>profit</v>
      </c>
      <c r="S227" t="str">
        <f>IF(Table1[[#This Row],[Discount]]=0,"No Discount",IF(Table1[[#This Row],[Discount]]&lt;=0.2,"low",IF(Table1[[#This Row],[Discount]]&lt;=0.3,"medium","high")))</f>
        <v>low</v>
      </c>
      <c r="T227" s="15" t="str">
        <f>IF(Table1[[#This Row],[Days]]&lt;=2,"faster",IF(Table1[[#This Row],[Days]]&lt;=4,"Normal","slow"))</f>
        <v>faster</v>
      </c>
    </row>
    <row r="228" spans="1:20" x14ac:dyDescent="0.25">
      <c r="A228" s="4" t="s">
        <v>261</v>
      </c>
      <c r="B228" s="1">
        <v>44982</v>
      </c>
      <c r="C228" s="1">
        <v>44987</v>
      </c>
      <c r="D228" s="13">
        <f>Table1[[#This Row],[Shipped date]]-Table1[[#This Row],[Order Date]]</f>
        <v>5</v>
      </c>
      <c r="E228" t="s">
        <v>25</v>
      </c>
      <c r="F228" s="13" t="str">
        <f>TEXT(Table1[[#This Row],[Order Date]],"MMMM")</f>
        <v>February</v>
      </c>
      <c r="G228" s="13">
        <f t="shared" si="6"/>
        <v>2023</v>
      </c>
      <c r="H228" s="13" t="str">
        <f t="shared" si="7"/>
        <v>Q1</v>
      </c>
      <c r="I228" s="1" t="s">
        <v>20</v>
      </c>
      <c r="J228" s="7" t="s">
        <v>15</v>
      </c>
      <c r="K228" s="7" t="s">
        <v>16</v>
      </c>
      <c r="L228" t="s">
        <v>38</v>
      </c>
      <c r="M228" s="9">
        <v>598.12</v>
      </c>
      <c r="N228" s="4">
        <v>3</v>
      </c>
      <c r="O228" s="12">
        <v>0.1</v>
      </c>
      <c r="P228" s="9">
        <v>18.84</v>
      </c>
      <c r="Q228" s="10">
        <f>Table1[[#This Row],[Profit]]/Table1[[#This Row],[Sales]]</f>
        <v>3.1498695913863436E-2</v>
      </c>
      <c r="R228" t="str">
        <f>IF(Table1[[#This Row],[Profit Margin]]&gt;0,"profit","loss")</f>
        <v>profit</v>
      </c>
      <c r="S228" t="str">
        <f>IF(Table1[[#This Row],[Discount]]=0,"No Discount",IF(Table1[[#This Row],[Discount]]&lt;=0.2,"low",IF(Table1[[#This Row],[Discount]]&lt;=0.3,"medium","high")))</f>
        <v>low</v>
      </c>
      <c r="T228" s="15" t="str">
        <f>IF(Table1[[#This Row],[Days]]&lt;=2,"faster",IF(Table1[[#This Row],[Days]]&lt;=4,"Normal","slow"))</f>
        <v>slow</v>
      </c>
    </row>
    <row r="229" spans="1:20" x14ac:dyDescent="0.25">
      <c r="A229" s="4" t="s">
        <v>262</v>
      </c>
      <c r="B229" s="1">
        <v>45165</v>
      </c>
      <c r="C229" s="1">
        <v>45171</v>
      </c>
      <c r="D229" s="13">
        <f>Table1[[#This Row],[Shipped date]]-Table1[[#This Row],[Order Date]]</f>
        <v>6</v>
      </c>
      <c r="E229" t="s">
        <v>19</v>
      </c>
      <c r="F229" s="13" t="str">
        <f>TEXT(Table1[[#This Row],[Order Date]],"MMMM")</f>
        <v>August</v>
      </c>
      <c r="G229" s="13">
        <f t="shared" si="6"/>
        <v>2023</v>
      </c>
      <c r="H229" s="13" t="str">
        <f t="shared" si="7"/>
        <v>Q3</v>
      </c>
      <c r="I229" s="1" t="s">
        <v>14</v>
      </c>
      <c r="J229" s="7" t="s">
        <v>15</v>
      </c>
      <c r="K229" s="7" t="s">
        <v>16</v>
      </c>
      <c r="L229" t="s">
        <v>33</v>
      </c>
      <c r="M229" s="9">
        <v>109.18</v>
      </c>
      <c r="N229" s="4">
        <v>1</v>
      </c>
      <c r="O229" s="12">
        <v>0.1</v>
      </c>
      <c r="P229" s="9">
        <v>4.38</v>
      </c>
      <c r="Q229" s="10">
        <f>Table1[[#This Row],[Profit]]/Table1[[#This Row],[Sales]]</f>
        <v>4.0117237589302066E-2</v>
      </c>
      <c r="R229" t="str">
        <f>IF(Table1[[#This Row],[Profit Margin]]&gt;0,"profit","loss")</f>
        <v>profit</v>
      </c>
      <c r="S229" t="str">
        <f>IF(Table1[[#This Row],[Discount]]=0,"No Discount",IF(Table1[[#This Row],[Discount]]&lt;=0.2,"low",IF(Table1[[#This Row],[Discount]]&lt;=0.3,"medium","high")))</f>
        <v>low</v>
      </c>
      <c r="T229" s="15" t="str">
        <f>IF(Table1[[#This Row],[Days]]&lt;=2,"faster",IF(Table1[[#This Row],[Days]]&lt;=4,"Normal","slow"))</f>
        <v>slow</v>
      </c>
    </row>
    <row r="230" spans="1:20" x14ac:dyDescent="0.25">
      <c r="A230" s="4" t="s">
        <v>263</v>
      </c>
      <c r="B230" s="1">
        <v>44952</v>
      </c>
      <c r="C230" s="1">
        <v>44956</v>
      </c>
      <c r="D230" s="13">
        <f>Table1[[#This Row],[Shipped date]]-Table1[[#This Row],[Order Date]]</f>
        <v>4</v>
      </c>
      <c r="E230" t="s">
        <v>13</v>
      </c>
      <c r="F230" s="13" t="str">
        <f>TEXT(Table1[[#This Row],[Order Date]],"MMMM")</f>
        <v>January</v>
      </c>
      <c r="G230" s="13">
        <f t="shared" si="6"/>
        <v>2023</v>
      </c>
      <c r="H230" s="13" t="str">
        <f t="shared" si="7"/>
        <v>Q1</v>
      </c>
      <c r="I230" s="1" t="s">
        <v>14</v>
      </c>
      <c r="J230" s="7" t="s">
        <v>21</v>
      </c>
      <c r="K230" s="7" t="s">
        <v>29</v>
      </c>
      <c r="L230" t="s">
        <v>43</v>
      </c>
      <c r="M230" s="9">
        <v>523.71</v>
      </c>
      <c r="N230" s="4">
        <v>3</v>
      </c>
      <c r="O230" s="12">
        <v>0.3</v>
      </c>
      <c r="P230" s="9">
        <v>-61.01</v>
      </c>
      <c r="Q230" s="10">
        <f>Table1[[#This Row],[Profit]]/Table1[[#This Row],[Sales]]</f>
        <v>-0.11649577056004276</v>
      </c>
      <c r="R230" t="str">
        <f>IF(Table1[[#This Row],[Profit Margin]]&gt;0,"profit","loss")</f>
        <v>loss</v>
      </c>
      <c r="S230" t="str">
        <f>IF(Table1[[#This Row],[Discount]]=0,"No Discount",IF(Table1[[#This Row],[Discount]]&lt;=0.2,"low",IF(Table1[[#This Row],[Discount]]&lt;=0.3,"medium","high")))</f>
        <v>medium</v>
      </c>
      <c r="T230" s="15" t="str">
        <f>IF(Table1[[#This Row],[Days]]&lt;=2,"faster",IF(Table1[[#This Row],[Days]]&lt;=4,"Normal","slow"))</f>
        <v>Normal</v>
      </c>
    </row>
    <row r="231" spans="1:20" x14ac:dyDescent="0.25">
      <c r="A231" s="4" t="s">
        <v>264</v>
      </c>
      <c r="B231" s="1">
        <v>45231</v>
      </c>
      <c r="C231" s="1">
        <v>45232</v>
      </c>
      <c r="D231" s="13">
        <f>Table1[[#This Row],[Shipped date]]-Table1[[#This Row],[Order Date]]</f>
        <v>1</v>
      </c>
      <c r="E231" t="s">
        <v>13</v>
      </c>
      <c r="F231" s="13" t="str">
        <f>TEXT(Table1[[#This Row],[Order Date]],"MMMM")</f>
        <v>November</v>
      </c>
      <c r="G231" s="13">
        <f t="shared" si="6"/>
        <v>2023</v>
      </c>
      <c r="H231" s="13" t="str">
        <f t="shared" si="7"/>
        <v>Q4</v>
      </c>
      <c r="I231" s="1" t="s">
        <v>37</v>
      </c>
      <c r="J231" s="7" t="s">
        <v>32</v>
      </c>
      <c r="K231" s="7" t="s">
        <v>16</v>
      </c>
      <c r="L231" t="s">
        <v>17</v>
      </c>
      <c r="M231" s="9">
        <v>312</v>
      </c>
      <c r="N231" s="4">
        <v>6</v>
      </c>
      <c r="O231" s="12">
        <v>0.1</v>
      </c>
      <c r="P231" s="9">
        <v>40.369999999999997</v>
      </c>
      <c r="Q231" s="10">
        <f>Table1[[#This Row],[Profit]]/Table1[[#This Row],[Sales]]</f>
        <v>0.12939102564102564</v>
      </c>
      <c r="R231" t="str">
        <f>IF(Table1[[#This Row],[Profit Margin]]&gt;0,"profit","loss")</f>
        <v>profit</v>
      </c>
      <c r="S231" t="str">
        <f>IF(Table1[[#This Row],[Discount]]=0,"No Discount",IF(Table1[[#This Row],[Discount]]&lt;=0.2,"low",IF(Table1[[#This Row],[Discount]]&lt;=0.3,"medium","high")))</f>
        <v>low</v>
      </c>
      <c r="T231" s="15" t="str">
        <f>IF(Table1[[#This Row],[Days]]&lt;=2,"faster",IF(Table1[[#This Row],[Days]]&lt;=4,"Normal","slow"))</f>
        <v>faster</v>
      </c>
    </row>
    <row r="232" spans="1:20" x14ac:dyDescent="0.25">
      <c r="A232" s="4" t="s">
        <v>265</v>
      </c>
      <c r="B232" s="1">
        <v>44972</v>
      </c>
      <c r="C232" s="1">
        <v>44974</v>
      </c>
      <c r="D232" s="13">
        <f>Table1[[#This Row],[Shipped date]]-Table1[[#This Row],[Order Date]]</f>
        <v>2</v>
      </c>
      <c r="E232" t="s">
        <v>13</v>
      </c>
      <c r="F232" s="13" t="str">
        <f>TEXT(Table1[[#This Row],[Order Date]],"MMMM")</f>
        <v>February</v>
      </c>
      <c r="G232" s="13">
        <f t="shared" si="6"/>
        <v>2023</v>
      </c>
      <c r="H232" s="13" t="str">
        <f t="shared" si="7"/>
        <v>Q1</v>
      </c>
      <c r="I232" s="1" t="s">
        <v>14</v>
      </c>
      <c r="J232" s="7" t="s">
        <v>26</v>
      </c>
      <c r="K232" s="7" t="s">
        <v>22</v>
      </c>
      <c r="L232" t="s">
        <v>40</v>
      </c>
      <c r="M232" s="9">
        <v>950.53</v>
      </c>
      <c r="N232" s="4">
        <v>4</v>
      </c>
      <c r="O232" s="12">
        <v>0.3</v>
      </c>
      <c r="P232" s="9">
        <v>-177.95</v>
      </c>
      <c r="Q232" s="10">
        <f>Table1[[#This Row],[Profit]]/Table1[[#This Row],[Sales]]</f>
        <v>-0.18721134524949237</v>
      </c>
      <c r="R232" t="str">
        <f>IF(Table1[[#This Row],[Profit Margin]]&gt;0,"profit","loss")</f>
        <v>loss</v>
      </c>
      <c r="S232" t="str">
        <f>IF(Table1[[#This Row],[Discount]]=0,"No Discount",IF(Table1[[#This Row],[Discount]]&lt;=0.2,"low",IF(Table1[[#This Row],[Discount]]&lt;=0.3,"medium","high")))</f>
        <v>medium</v>
      </c>
      <c r="T232" s="15" t="str">
        <f>IF(Table1[[#This Row],[Days]]&lt;=2,"faster",IF(Table1[[#This Row],[Days]]&lt;=4,"Normal","slow"))</f>
        <v>faster</v>
      </c>
    </row>
    <row r="233" spans="1:20" x14ac:dyDescent="0.25">
      <c r="A233" s="4" t="s">
        <v>266</v>
      </c>
      <c r="B233" s="1">
        <v>44942</v>
      </c>
      <c r="C233" s="1">
        <v>44947</v>
      </c>
      <c r="D233" s="13">
        <f>Table1[[#This Row],[Shipped date]]-Table1[[#This Row],[Order Date]]</f>
        <v>5</v>
      </c>
      <c r="E233" t="s">
        <v>13</v>
      </c>
      <c r="F233" s="13" t="str">
        <f>TEXT(Table1[[#This Row],[Order Date]],"MMMM")</f>
        <v>January</v>
      </c>
      <c r="G233" s="13">
        <f t="shared" si="6"/>
        <v>2023</v>
      </c>
      <c r="H233" s="13" t="str">
        <f t="shared" si="7"/>
        <v>Q1</v>
      </c>
      <c r="I233" s="1" t="s">
        <v>20</v>
      </c>
      <c r="J233" s="7" t="s">
        <v>21</v>
      </c>
      <c r="K233" s="7" t="s">
        <v>16</v>
      </c>
      <c r="L233" t="s">
        <v>17</v>
      </c>
      <c r="M233" s="9">
        <v>845.25</v>
      </c>
      <c r="N233" s="4">
        <v>2</v>
      </c>
      <c r="O233" s="12">
        <v>0</v>
      </c>
      <c r="P233" s="9">
        <v>82.6</v>
      </c>
      <c r="Q233" s="10">
        <f>Table1[[#This Row],[Profit]]/Table1[[#This Row],[Sales]]</f>
        <v>9.7722567287784667E-2</v>
      </c>
      <c r="R233" t="str">
        <f>IF(Table1[[#This Row],[Profit Margin]]&gt;0,"profit","loss")</f>
        <v>profit</v>
      </c>
      <c r="S233" t="str">
        <f>IF(Table1[[#This Row],[Discount]]=0,"No Discount",IF(Table1[[#This Row],[Discount]]&lt;=0.2,"low",IF(Table1[[#This Row],[Discount]]&lt;=0.3,"medium","high")))</f>
        <v>No Discount</v>
      </c>
      <c r="T233" s="15" t="str">
        <f>IF(Table1[[#This Row],[Days]]&lt;=2,"faster",IF(Table1[[#This Row],[Days]]&lt;=4,"Normal","slow"))</f>
        <v>slow</v>
      </c>
    </row>
    <row r="234" spans="1:20" x14ac:dyDescent="0.25">
      <c r="A234" s="4" t="s">
        <v>267</v>
      </c>
      <c r="B234" s="1">
        <v>45161</v>
      </c>
      <c r="C234" s="1">
        <v>45165</v>
      </c>
      <c r="D234" s="13">
        <f>Table1[[#This Row],[Shipped date]]-Table1[[#This Row],[Order Date]]</f>
        <v>4</v>
      </c>
      <c r="E234" t="s">
        <v>13</v>
      </c>
      <c r="F234" s="13" t="str">
        <f>TEXT(Table1[[#This Row],[Order Date]],"MMMM")</f>
        <v>August</v>
      </c>
      <c r="G234" s="13">
        <f t="shared" si="6"/>
        <v>2023</v>
      </c>
      <c r="H234" s="13" t="str">
        <f t="shared" si="7"/>
        <v>Q3</v>
      </c>
      <c r="I234" s="1" t="s">
        <v>20</v>
      </c>
      <c r="J234" s="7" t="s">
        <v>26</v>
      </c>
      <c r="K234" s="7" t="s">
        <v>22</v>
      </c>
      <c r="L234" t="s">
        <v>23</v>
      </c>
      <c r="M234" s="9">
        <v>469.95</v>
      </c>
      <c r="N234" s="4">
        <v>3</v>
      </c>
      <c r="O234" s="12">
        <v>0.1</v>
      </c>
      <c r="P234" s="9">
        <v>23.46</v>
      </c>
      <c r="Q234" s="10">
        <f>Table1[[#This Row],[Profit]]/Table1[[#This Row],[Sales]]</f>
        <v>4.9920204277050753E-2</v>
      </c>
      <c r="R234" t="str">
        <f>IF(Table1[[#This Row],[Profit Margin]]&gt;0,"profit","loss")</f>
        <v>profit</v>
      </c>
      <c r="S234" t="str">
        <f>IF(Table1[[#This Row],[Discount]]=0,"No Discount",IF(Table1[[#This Row],[Discount]]&lt;=0.2,"low",IF(Table1[[#This Row],[Discount]]&lt;=0.3,"medium","high")))</f>
        <v>low</v>
      </c>
      <c r="T234" s="15" t="str">
        <f>IF(Table1[[#This Row],[Days]]&lt;=2,"faster",IF(Table1[[#This Row],[Days]]&lt;=4,"Normal","slow"))</f>
        <v>Normal</v>
      </c>
    </row>
    <row r="235" spans="1:20" x14ac:dyDescent="0.25">
      <c r="A235" s="4" t="s">
        <v>268</v>
      </c>
      <c r="B235" s="1">
        <v>44962</v>
      </c>
      <c r="C235" s="1">
        <v>44968</v>
      </c>
      <c r="D235" s="13">
        <f>Table1[[#This Row],[Shipped date]]-Table1[[#This Row],[Order Date]]</f>
        <v>6</v>
      </c>
      <c r="E235" t="s">
        <v>28</v>
      </c>
      <c r="F235" s="13" t="str">
        <f>TEXT(Table1[[#This Row],[Order Date]],"MMMM")</f>
        <v>February</v>
      </c>
      <c r="G235" s="13">
        <f t="shared" si="6"/>
        <v>2023</v>
      </c>
      <c r="H235" s="13" t="str">
        <f t="shared" si="7"/>
        <v>Q1</v>
      </c>
      <c r="I235" s="1" t="s">
        <v>20</v>
      </c>
      <c r="J235" s="7" t="s">
        <v>26</v>
      </c>
      <c r="K235" s="7" t="s">
        <v>16</v>
      </c>
      <c r="L235" t="s">
        <v>33</v>
      </c>
      <c r="M235" s="9">
        <v>360.47</v>
      </c>
      <c r="N235" s="4">
        <v>8</v>
      </c>
      <c r="O235" s="12">
        <v>0.1</v>
      </c>
      <c r="P235" s="9">
        <v>24.34</v>
      </c>
      <c r="Q235" s="10">
        <f>Table1[[#This Row],[Profit]]/Table1[[#This Row],[Sales]]</f>
        <v>6.7522956140594212E-2</v>
      </c>
      <c r="R235" t="str">
        <f>IF(Table1[[#This Row],[Profit Margin]]&gt;0,"profit","loss")</f>
        <v>profit</v>
      </c>
      <c r="S235" t="str">
        <f>IF(Table1[[#This Row],[Discount]]=0,"No Discount",IF(Table1[[#This Row],[Discount]]&lt;=0.2,"low",IF(Table1[[#This Row],[Discount]]&lt;=0.3,"medium","high")))</f>
        <v>low</v>
      </c>
      <c r="T235" s="15" t="str">
        <f>IF(Table1[[#This Row],[Days]]&lt;=2,"faster",IF(Table1[[#This Row],[Days]]&lt;=4,"Normal","slow"))</f>
        <v>slow</v>
      </c>
    </row>
    <row r="236" spans="1:20" x14ac:dyDescent="0.25">
      <c r="A236" s="4" t="s">
        <v>269</v>
      </c>
      <c r="B236" s="1">
        <v>45182</v>
      </c>
      <c r="C236" s="1">
        <v>45185</v>
      </c>
      <c r="D236" s="13">
        <f>Table1[[#This Row],[Shipped date]]-Table1[[#This Row],[Order Date]]</f>
        <v>3</v>
      </c>
      <c r="E236" t="s">
        <v>19</v>
      </c>
      <c r="F236" s="13" t="str">
        <f>TEXT(Table1[[#This Row],[Order Date]],"MMMM")</f>
        <v>September</v>
      </c>
      <c r="G236" s="13">
        <f t="shared" si="6"/>
        <v>2023</v>
      </c>
      <c r="H236" s="13" t="str">
        <f t="shared" si="7"/>
        <v>Q3</v>
      </c>
      <c r="I236" s="1" t="s">
        <v>20</v>
      </c>
      <c r="J236" s="7" t="s">
        <v>21</v>
      </c>
      <c r="K236" s="7" t="s">
        <v>29</v>
      </c>
      <c r="L236" t="s">
        <v>45</v>
      </c>
      <c r="M236" s="9">
        <v>255.34</v>
      </c>
      <c r="N236" s="4">
        <v>5</v>
      </c>
      <c r="O236" s="12">
        <v>0.2</v>
      </c>
      <c r="P236" s="9">
        <v>-7.93</v>
      </c>
      <c r="Q236" s="10">
        <f>Table1[[#This Row],[Profit]]/Table1[[#This Row],[Sales]]</f>
        <v>-3.1056630375186026E-2</v>
      </c>
      <c r="R236" t="str">
        <f>IF(Table1[[#This Row],[Profit Margin]]&gt;0,"profit","loss")</f>
        <v>loss</v>
      </c>
      <c r="S236" t="str">
        <f>IF(Table1[[#This Row],[Discount]]=0,"No Discount",IF(Table1[[#This Row],[Discount]]&lt;=0.2,"low",IF(Table1[[#This Row],[Discount]]&lt;=0.3,"medium","high")))</f>
        <v>low</v>
      </c>
      <c r="T236" s="15" t="str">
        <f>IF(Table1[[#This Row],[Days]]&lt;=2,"faster",IF(Table1[[#This Row],[Days]]&lt;=4,"Normal","slow"))</f>
        <v>Normal</v>
      </c>
    </row>
    <row r="237" spans="1:20" x14ac:dyDescent="0.25">
      <c r="A237" s="4" t="s">
        <v>270</v>
      </c>
      <c r="B237" s="1">
        <v>44951</v>
      </c>
      <c r="C237" s="1">
        <v>44952</v>
      </c>
      <c r="D237" s="13">
        <f>Table1[[#This Row],[Shipped date]]-Table1[[#This Row],[Order Date]]</f>
        <v>1</v>
      </c>
      <c r="E237" t="s">
        <v>28</v>
      </c>
      <c r="F237" s="13" t="str">
        <f>TEXT(Table1[[#This Row],[Order Date]],"MMMM")</f>
        <v>January</v>
      </c>
      <c r="G237" s="13">
        <f t="shared" si="6"/>
        <v>2023</v>
      </c>
      <c r="H237" s="13" t="str">
        <f t="shared" si="7"/>
        <v>Q1</v>
      </c>
      <c r="I237" s="1" t="s">
        <v>20</v>
      </c>
      <c r="J237" s="7" t="s">
        <v>21</v>
      </c>
      <c r="K237" s="7" t="s">
        <v>29</v>
      </c>
      <c r="L237" t="s">
        <v>30</v>
      </c>
      <c r="M237" s="9">
        <v>470.92</v>
      </c>
      <c r="N237" s="4">
        <v>8</v>
      </c>
      <c r="O237" s="12">
        <v>0.3</v>
      </c>
      <c r="P237" s="9">
        <v>-103.55</v>
      </c>
      <c r="Q237" s="10">
        <f>Table1[[#This Row],[Profit]]/Table1[[#This Row],[Sales]]</f>
        <v>-0.21988872844644525</v>
      </c>
      <c r="R237" t="str">
        <f>IF(Table1[[#This Row],[Profit Margin]]&gt;0,"profit","loss")</f>
        <v>loss</v>
      </c>
      <c r="S237" t="str">
        <f>IF(Table1[[#This Row],[Discount]]=0,"No Discount",IF(Table1[[#This Row],[Discount]]&lt;=0.2,"low",IF(Table1[[#This Row],[Discount]]&lt;=0.3,"medium","high")))</f>
        <v>medium</v>
      </c>
      <c r="T237" s="15" t="str">
        <f>IF(Table1[[#This Row],[Days]]&lt;=2,"faster",IF(Table1[[#This Row],[Days]]&lt;=4,"Normal","slow"))</f>
        <v>faster</v>
      </c>
    </row>
    <row r="238" spans="1:20" x14ac:dyDescent="0.25">
      <c r="A238" s="4" t="s">
        <v>271</v>
      </c>
      <c r="B238" s="1">
        <v>44979</v>
      </c>
      <c r="C238" s="1">
        <v>44981</v>
      </c>
      <c r="D238" s="13">
        <f>Table1[[#This Row],[Shipped date]]-Table1[[#This Row],[Order Date]]</f>
        <v>2</v>
      </c>
      <c r="E238" t="s">
        <v>13</v>
      </c>
      <c r="F238" s="13" t="str">
        <f>TEXT(Table1[[#This Row],[Order Date]],"MMMM")</f>
        <v>February</v>
      </c>
      <c r="G238" s="13">
        <f t="shared" si="6"/>
        <v>2023</v>
      </c>
      <c r="H238" s="13" t="str">
        <f t="shared" si="7"/>
        <v>Q1</v>
      </c>
      <c r="I238" s="1" t="s">
        <v>37</v>
      </c>
      <c r="J238" s="7" t="s">
        <v>21</v>
      </c>
      <c r="K238" s="7" t="s">
        <v>22</v>
      </c>
      <c r="L238" t="s">
        <v>35</v>
      </c>
      <c r="M238" s="9">
        <v>156.05000000000001</v>
      </c>
      <c r="N238" s="4">
        <v>3</v>
      </c>
      <c r="O238" s="12">
        <v>0.3</v>
      </c>
      <c r="P238" s="9">
        <v>-38.61</v>
      </c>
      <c r="Q238" s="10">
        <f>Table1[[#This Row],[Profit]]/Table1[[#This Row],[Sales]]</f>
        <v>-0.24742069849407239</v>
      </c>
      <c r="R238" t="str">
        <f>IF(Table1[[#This Row],[Profit Margin]]&gt;0,"profit","loss")</f>
        <v>loss</v>
      </c>
      <c r="S238" t="str">
        <f>IF(Table1[[#This Row],[Discount]]=0,"No Discount",IF(Table1[[#This Row],[Discount]]&lt;=0.2,"low",IF(Table1[[#This Row],[Discount]]&lt;=0.3,"medium","high")))</f>
        <v>medium</v>
      </c>
      <c r="T238" s="15" t="str">
        <f>IF(Table1[[#This Row],[Days]]&lt;=2,"faster",IF(Table1[[#This Row],[Days]]&lt;=4,"Normal","slow"))</f>
        <v>faster</v>
      </c>
    </row>
    <row r="239" spans="1:20" x14ac:dyDescent="0.25">
      <c r="A239" s="4" t="s">
        <v>272</v>
      </c>
      <c r="B239" s="1">
        <v>45062</v>
      </c>
      <c r="C239" s="1">
        <v>45066</v>
      </c>
      <c r="D239" s="13">
        <f>Table1[[#This Row],[Shipped date]]-Table1[[#This Row],[Order Date]]</f>
        <v>4</v>
      </c>
      <c r="E239" t="s">
        <v>28</v>
      </c>
      <c r="F239" s="13" t="str">
        <f>TEXT(Table1[[#This Row],[Order Date]],"MMMM")</f>
        <v>May</v>
      </c>
      <c r="G239" s="13">
        <f t="shared" si="6"/>
        <v>2023</v>
      </c>
      <c r="H239" s="13" t="str">
        <f t="shared" si="7"/>
        <v>Q2</v>
      </c>
      <c r="I239" s="1" t="s">
        <v>14</v>
      </c>
      <c r="J239" s="7" t="s">
        <v>32</v>
      </c>
      <c r="K239" s="7" t="s">
        <v>29</v>
      </c>
      <c r="L239" t="s">
        <v>30</v>
      </c>
      <c r="M239" s="9">
        <v>702.57</v>
      </c>
      <c r="N239" s="4">
        <v>3</v>
      </c>
      <c r="O239" s="12">
        <v>0</v>
      </c>
      <c r="P239" s="9">
        <v>113.03</v>
      </c>
      <c r="Q239" s="10">
        <f>Table1[[#This Row],[Profit]]/Table1[[#This Row],[Sales]]</f>
        <v>0.16088076632933374</v>
      </c>
      <c r="R239" t="str">
        <f>IF(Table1[[#This Row],[Profit Margin]]&gt;0,"profit","loss")</f>
        <v>profit</v>
      </c>
      <c r="S239" t="str">
        <f>IF(Table1[[#This Row],[Discount]]=0,"No Discount",IF(Table1[[#This Row],[Discount]]&lt;=0.2,"low",IF(Table1[[#This Row],[Discount]]&lt;=0.3,"medium","high")))</f>
        <v>No Discount</v>
      </c>
      <c r="T239" s="15" t="str">
        <f>IF(Table1[[#This Row],[Days]]&lt;=2,"faster",IF(Table1[[#This Row],[Days]]&lt;=4,"Normal","slow"))</f>
        <v>Normal</v>
      </c>
    </row>
    <row r="240" spans="1:20" x14ac:dyDescent="0.25">
      <c r="A240" s="4" t="s">
        <v>273</v>
      </c>
      <c r="B240" s="1">
        <v>45286</v>
      </c>
      <c r="C240" s="1">
        <v>45291</v>
      </c>
      <c r="D240" s="13">
        <f>Table1[[#This Row],[Shipped date]]-Table1[[#This Row],[Order Date]]</f>
        <v>5</v>
      </c>
      <c r="E240" t="s">
        <v>13</v>
      </c>
      <c r="F240" s="13" t="str">
        <f>TEXT(Table1[[#This Row],[Order Date]],"MMMM")</f>
        <v>December</v>
      </c>
      <c r="G240" s="13">
        <f t="shared" si="6"/>
        <v>2023</v>
      </c>
      <c r="H240" s="13" t="str">
        <f t="shared" si="7"/>
        <v>Q4</v>
      </c>
      <c r="I240" s="1" t="s">
        <v>37</v>
      </c>
      <c r="J240" s="7" t="s">
        <v>15</v>
      </c>
      <c r="K240" s="7" t="s">
        <v>22</v>
      </c>
      <c r="L240" t="s">
        <v>23</v>
      </c>
      <c r="M240" s="9">
        <v>484.48</v>
      </c>
      <c r="N240" s="4">
        <v>6</v>
      </c>
      <c r="O240" s="12">
        <v>0</v>
      </c>
      <c r="P240" s="9">
        <v>96.57</v>
      </c>
      <c r="Q240" s="10">
        <f>Table1[[#This Row],[Profit]]/Table1[[#This Row],[Sales]]</f>
        <v>0.19932711360634081</v>
      </c>
      <c r="R240" t="str">
        <f>IF(Table1[[#This Row],[Profit Margin]]&gt;0,"profit","loss")</f>
        <v>profit</v>
      </c>
      <c r="S240" t="str">
        <f>IF(Table1[[#This Row],[Discount]]=0,"No Discount",IF(Table1[[#This Row],[Discount]]&lt;=0.2,"low",IF(Table1[[#This Row],[Discount]]&lt;=0.3,"medium","high")))</f>
        <v>No Discount</v>
      </c>
      <c r="T240" s="15" t="str">
        <f>IF(Table1[[#This Row],[Days]]&lt;=2,"faster",IF(Table1[[#This Row],[Days]]&lt;=4,"Normal","slow"))</f>
        <v>slow</v>
      </c>
    </row>
    <row r="241" spans="1:20" x14ac:dyDescent="0.25">
      <c r="A241" s="4" t="s">
        <v>274</v>
      </c>
      <c r="B241" s="1">
        <v>45050</v>
      </c>
      <c r="C241" s="1">
        <v>45057</v>
      </c>
      <c r="D241" s="13">
        <f>Table1[[#This Row],[Shipped date]]-Table1[[#This Row],[Order Date]]</f>
        <v>7</v>
      </c>
      <c r="E241" t="s">
        <v>28</v>
      </c>
      <c r="F241" s="13" t="str">
        <f>TEXT(Table1[[#This Row],[Order Date]],"MMMM")</f>
        <v>May</v>
      </c>
      <c r="G241" s="13">
        <f t="shared" si="6"/>
        <v>2023</v>
      </c>
      <c r="H241" s="13" t="str">
        <f t="shared" si="7"/>
        <v>Q2</v>
      </c>
      <c r="I241" s="1" t="s">
        <v>14</v>
      </c>
      <c r="J241" s="7" t="s">
        <v>26</v>
      </c>
      <c r="K241" s="7" t="s">
        <v>16</v>
      </c>
      <c r="L241" t="s">
        <v>38</v>
      </c>
      <c r="M241" s="9">
        <v>609.9</v>
      </c>
      <c r="N241" s="4">
        <v>9</v>
      </c>
      <c r="O241" s="12">
        <v>0.2</v>
      </c>
      <c r="P241" s="9">
        <v>-78.13</v>
      </c>
      <c r="Q241" s="10">
        <f>Table1[[#This Row],[Profit]]/Table1[[#This Row],[Sales]]</f>
        <v>-0.1281029676996229</v>
      </c>
      <c r="R241" t="str">
        <f>IF(Table1[[#This Row],[Profit Margin]]&gt;0,"profit","loss")</f>
        <v>loss</v>
      </c>
      <c r="S241" t="str">
        <f>IF(Table1[[#This Row],[Discount]]=0,"No Discount",IF(Table1[[#This Row],[Discount]]&lt;=0.2,"low",IF(Table1[[#This Row],[Discount]]&lt;=0.3,"medium","high")))</f>
        <v>low</v>
      </c>
      <c r="T241" s="15" t="str">
        <f>IF(Table1[[#This Row],[Days]]&lt;=2,"faster",IF(Table1[[#This Row],[Days]]&lt;=4,"Normal","slow"))</f>
        <v>slow</v>
      </c>
    </row>
    <row r="242" spans="1:20" x14ac:dyDescent="0.25">
      <c r="A242" s="4" t="s">
        <v>275</v>
      </c>
      <c r="B242" s="1">
        <v>45236</v>
      </c>
      <c r="C242" s="1">
        <v>45242</v>
      </c>
      <c r="D242" s="13">
        <f>Table1[[#This Row],[Shipped date]]-Table1[[#This Row],[Order Date]]</f>
        <v>6</v>
      </c>
      <c r="E242" t="s">
        <v>13</v>
      </c>
      <c r="F242" s="13" t="str">
        <f>TEXT(Table1[[#This Row],[Order Date]],"MMMM")</f>
        <v>November</v>
      </c>
      <c r="G242" s="13">
        <f t="shared" si="6"/>
        <v>2023</v>
      </c>
      <c r="H242" s="13" t="str">
        <f t="shared" si="7"/>
        <v>Q4</v>
      </c>
      <c r="I242" s="1" t="s">
        <v>14</v>
      </c>
      <c r="J242" s="7" t="s">
        <v>15</v>
      </c>
      <c r="K242" s="7" t="s">
        <v>29</v>
      </c>
      <c r="L242" t="s">
        <v>30</v>
      </c>
      <c r="M242" s="9">
        <v>185.56</v>
      </c>
      <c r="N242" s="4">
        <v>6</v>
      </c>
      <c r="O242" s="12">
        <v>0.3</v>
      </c>
      <c r="P242" s="9">
        <v>-32.78</v>
      </c>
      <c r="Q242" s="10">
        <f>Table1[[#This Row],[Profit]]/Table1[[#This Row],[Sales]]</f>
        <v>-0.17665445139038585</v>
      </c>
      <c r="R242" t="str">
        <f>IF(Table1[[#This Row],[Profit Margin]]&gt;0,"profit","loss")</f>
        <v>loss</v>
      </c>
      <c r="S242" t="str">
        <f>IF(Table1[[#This Row],[Discount]]=0,"No Discount",IF(Table1[[#This Row],[Discount]]&lt;=0.2,"low",IF(Table1[[#This Row],[Discount]]&lt;=0.3,"medium","high")))</f>
        <v>medium</v>
      </c>
      <c r="T242" s="15" t="str">
        <f>IF(Table1[[#This Row],[Days]]&lt;=2,"faster",IF(Table1[[#This Row],[Days]]&lt;=4,"Normal","slow"))</f>
        <v>slow</v>
      </c>
    </row>
    <row r="243" spans="1:20" x14ac:dyDescent="0.25">
      <c r="A243" s="4" t="s">
        <v>276</v>
      </c>
      <c r="B243" s="1">
        <v>44991</v>
      </c>
      <c r="C243" s="1">
        <v>44992</v>
      </c>
      <c r="D243" s="13">
        <f>Table1[[#This Row],[Shipped date]]-Table1[[#This Row],[Order Date]]</f>
        <v>1</v>
      </c>
      <c r="E243" t="s">
        <v>13</v>
      </c>
      <c r="F243" s="13" t="str">
        <f>TEXT(Table1[[#This Row],[Order Date]],"MMMM")</f>
        <v>March</v>
      </c>
      <c r="G243" s="13">
        <f t="shared" si="6"/>
        <v>2023</v>
      </c>
      <c r="H243" s="13" t="str">
        <f t="shared" si="7"/>
        <v>Q1</v>
      </c>
      <c r="I243" s="1" t="s">
        <v>14</v>
      </c>
      <c r="J243" s="7" t="s">
        <v>21</v>
      </c>
      <c r="K243" s="7" t="s">
        <v>16</v>
      </c>
      <c r="L243" t="s">
        <v>33</v>
      </c>
      <c r="M243" s="9">
        <v>51.17</v>
      </c>
      <c r="N243" s="4">
        <v>3</v>
      </c>
      <c r="O243" s="12">
        <v>0.1</v>
      </c>
      <c r="P243" s="9">
        <v>-11.56</v>
      </c>
      <c r="Q243" s="10">
        <f>Table1[[#This Row],[Profit]]/Table1[[#This Row],[Sales]]</f>
        <v>-0.22591362126245848</v>
      </c>
      <c r="R243" t="str">
        <f>IF(Table1[[#This Row],[Profit Margin]]&gt;0,"profit","loss")</f>
        <v>loss</v>
      </c>
      <c r="S243" t="str">
        <f>IF(Table1[[#This Row],[Discount]]=0,"No Discount",IF(Table1[[#This Row],[Discount]]&lt;=0.2,"low",IF(Table1[[#This Row],[Discount]]&lt;=0.3,"medium","high")))</f>
        <v>low</v>
      </c>
      <c r="T243" s="15" t="str">
        <f>IF(Table1[[#This Row],[Days]]&lt;=2,"faster",IF(Table1[[#This Row],[Days]]&lt;=4,"Normal","slow"))</f>
        <v>faster</v>
      </c>
    </row>
    <row r="244" spans="1:20" x14ac:dyDescent="0.25">
      <c r="A244" s="4" t="s">
        <v>277</v>
      </c>
      <c r="B244" s="1">
        <v>45237</v>
      </c>
      <c r="C244" s="1">
        <v>45240</v>
      </c>
      <c r="D244" s="13">
        <f>Table1[[#This Row],[Shipped date]]-Table1[[#This Row],[Order Date]]</f>
        <v>3</v>
      </c>
      <c r="E244" t="s">
        <v>13</v>
      </c>
      <c r="F244" s="13" t="str">
        <f>TEXT(Table1[[#This Row],[Order Date]],"MMMM")</f>
        <v>November</v>
      </c>
      <c r="G244" s="13">
        <f t="shared" si="6"/>
        <v>2023</v>
      </c>
      <c r="H244" s="13" t="str">
        <f t="shared" si="7"/>
        <v>Q4</v>
      </c>
      <c r="I244" s="1" t="s">
        <v>14</v>
      </c>
      <c r="J244" s="7" t="s">
        <v>15</v>
      </c>
      <c r="K244" s="7" t="s">
        <v>16</v>
      </c>
      <c r="L244" t="s">
        <v>33</v>
      </c>
      <c r="M244" s="9">
        <v>471.56</v>
      </c>
      <c r="N244" s="4">
        <v>1</v>
      </c>
      <c r="O244" s="12">
        <v>0.1</v>
      </c>
      <c r="P244" s="9">
        <v>42.6</v>
      </c>
      <c r="Q244" s="10">
        <f>Table1[[#This Row],[Profit]]/Table1[[#This Row],[Sales]]</f>
        <v>9.033845109848164E-2</v>
      </c>
      <c r="R244" t="str">
        <f>IF(Table1[[#This Row],[Profit Margin]]&gt;0,"profit","loss")</f>
        <v>profit</v>
      </c>
      <c r="S244" t="str">
        <f>IF(Table1[[#This Row],[Discount]]=0,"No Discount",IF(Table1[[#This Row],[Discount]]&lt;=0.2,"low",IF(Table1[[#This Row],[Discount]]&lt;=0.3,"medium","high")))</f>
        <v>low</v>
      </c>
      <c r="T244" s="15" t="str">
        <f>IF(Table1[[#This Row],[Days]]&lt;=2,"faster",IF(Table1[[#This Row],[Days]]&lt;=4,"Normal","slow"))</f>
        <v>Normal</v>
      </c>
    </row>
    <row r="245" spans="1:20" x14ac:dyDescent="0.25">
      <c r="A245" s="4" t="s">
        <v>278</v>
      </c>
      <c r="B245" s="1">
        <v>45214</v>
      </c>
      <c r="C245" s="1">
        <v>45221</v>
      </c>
      <c r="D245" s="13">
        <f>Table1[[#This Row],[Shipped date]]-Table1[[#This Row],[Order Date]]</f>
        <v>7</v>
      </c>
      <c r="E245" t="s">
        <v>19</v>
      </c>
      <c r="F245" s="13" t="str">
        <f>TEXT(Table1[[#This Row],[Order Date]],"MMMM")</f>
        <v>October</v>
      </c>
      <c r="G245" s="13">
        <f t="shared" si="6"/>
        <v>2023</v>
      </c>
      <c r="H245" s="13" t="str">
        <f t="shared" si="7"/>
        <v>Q4</v>
      </c>
      <c r="I245" s="1" t="s">
        <v>20</v>
      </c>
      <c r="J245" s="7" t="s">
        <v>32</v>
      </c>
      <c r="K245" s="7" t="s">
        <v>16</v>
      </c>
      <c r="L245" t="s">
        <v>33</v>
      </c>
      <c r="M245" s="9">
        <v>146.16999999999999</v>
      </c>
      <c r="N245" s="4">
        <v>1</v>
      </c>
      <c r="O245" s="12">
        <v>0.1</v>
      </c>
      <c r="P245" s="9">
        <v>28.33</v>
      </c>
      <c r="Q245" s="10">
        <f>Table1[[#This Row],[Profit]]/Table1[[#This Row],[Sales]]</f>
        <v>0.19381542040090308</v>
      </c>
      <c r="R245" t="str">
        <f>IF(Table1[[#This Row],[Profit Margin]]&gt;0,"profit","loss")</f>
        <v>profit</v>
      </c>
      <c r="S245" t="str">
        <f>IF(Table1[[#This Row],[Discount]]=0,"No Discount",IF(Table1[[#This Row],[Discount]]&lt;=0.2,"low",IF(Table1[[#This Row],[Discount]]&lt;=0.3,"medium","high")))</f>
        <v>low</v>
      </c>
      <c r="T245" s="15" t="str">
        <f>IF(Table1[[#This Row],[Days]]&lt;=2,"faster",IF(Table1[[#This Row],[Days]]&lt;=4,"Normal","slow"))</f>
        <v>slow</v>
      </c>
    </row>
    <row r="246" spans="1:20" x14ac:dyDescent="0.25">
      <c r="A246" s="4" t="s">
        <v>279</v>
      </c>
      <c r="B246" s="1">
        <v>45278</v>
      </c>
      <c r="C246" s="1">
        <v>45279</v>
      </c>
      <c r="D246" s="13">
        <f>Table1[[#This Row],[Shipped date]]-Table1[[#This Row],[Order Date]]</f>
        <v>1</v>
      </c>
      <c r="E246" t="s">
        <v>25</v>
      </c>
      <c r="F246" s="13" t="str">
        <f>TEXT(Table1[[#This Row],[Order Date]],"MMMM")</f>
        <v>December</v>
      </c>
      <c r="G246" s="13">
        <f t="shared" si="6"/>
        <v>2023</v>
      </c>
      <c r="H246" s="13" t="str">
        <f t="shared" si="7"/>
        <v>Q4</v>
      </c>
      <c r="I246" s="1" t="s">
        <v>20</v>
      </c>
      <c r="J246" s="7" t="s">
        <v>15</v>
      </c>
      <c r="K246" s="7" t="s">
        <v>22</v>
      </c>
      <c r="L246" t="s">
        <v>40</v>
      </c>
      <c r="M246" s="9">
        <v>58.53</v>
      </c>
      <c r="N246" s="4">
        <v>9</v>
      </c>
      <c r="O246" s="12">
        <v>0</v>
      </c>
      <c r="P246" s="9">
        <v>19.53</v>
      </c>
      <c r="Q246" s="10">
        <f>Table1[[#This Row],[Profit]]/Table1[[#This Row],[Sales]]</f>
        <v>0.33367503844182472</v>
      </c>
      <c r="R246" t="str">
        <f>IF(Table1[[#This Row],[Profit Margin]]&gt;0,"profit","loss")</f>
        <v>profit</v>
      </c>
      <c r="S246" t="str">
        <f>IF(Table1[[#This Row],[Discount]]=0,"No Discount",IF(Table1[[#This Row],[Discount]]&lt;=0.2,"low",IF(Table1[[#This Row],[Discount]]&lt;=0.3,"medium","high")))</f>
        <v>No Discount</v>
      </c>
      <c r="T246" s="15" t="str">
        <f>IF(Table1[[#This Row],[Days]]&lt;=2,"faster",IF(Table1[[#This Row],[Days]]&lt;=4,"Normal","slow"))</f>
        <v>faster</v>
      </c>
    </row>
    <row r="247" spans="1:20" x14ac:dyDescent="0.25">
      <c r="A247" s="4" t="s">
        <v>280</v>
      </c>
      <c r="B247" s="1">
        <v>45247</v>
      </c>
      <c r="C247" s="1">
        <v>45250</v>
      </c>
      <c r="D247" s="13">
        <f>Table1[[#This Row],[Shipped date]]-Table1[[#This Row],[Order Date]]</f>
        <v>3</v>
      </c>
      <c r="E247" t="s">
        <v>13</v>
      </c>
      <c r="F247" s="13" t="str">
        <f>TEXT(Table1[[#This Row],[Order Date]],"MMMM")</f>
        <v>November</v>
      </c>
      <c r="G247" s="13">
        <f t="shared" si="6"/>
        <v>2023</v>
      </c>
      <c r="H247" s="13" t="str">
        <f t="shared" si="7"/>
        <v>Q4</v>
      </c>
      <c r="I247" s="1" t="s">
        <v>37</v>
      </c>
      <c r="J247" s="7" t="s">
        <v>32</v>
      </c>
      <c r="K247" s="7" t="s">
        <v>22</v>
      </c>
      <c r="L247" t="s">
        <v>35</v>
      </c>
      <c r="M247" s="9">
        <v>694.03</v>
      </c>
      <c r="N247" s="4">
        <v>7</v>
      </c>
      <c r="O247" s="12">
        <v>0.3</v>
      </c>
      <c r="P247" s="9">
        <v>-97.66</v>
      </c>
      <c r="Q247" s="10">
        <f>Table1[[#This Row],[Profit]]/Table1[[#This Row],[Sales]]</f>
        <v>-0.1407143783409939</v>
      </c>
      <c r="R247" t="str">
        <f>IF(Table1[[#This Row],[Profit Margin]]&gt;0,"profit","loss")</f>
        <v>loss</v>
      </c>
      <c r="S247" t="str">
        <f>IF(Table1[[#This Row],[Discount]]=0,"No Discount",IF(Table1[[#This Row],[Discount]]&lt;=0.2,"low",IF(Table1[[#This Row],[Discount]]&lt;=0.3,"medium","high")))</f>
        <v>medium</v>
      </c>
      <c r="T247" s="15" t="str">
        <f>IF(Table1[[#This Row],[Days]]&lt;=2,"faster",IF(Table1[[#This Row],[Days]]&lt;=4,"Normal","slow"))</f>
        <v>Normal</v>
      </c>
    </row>
    <row r="248" spans="1:20" x14ac:dyDescent="0.25">
      <c r="A248" s="4" t="s">
        <v>281</v>
      </c>
      <c r="B248" s="1">
        <v>45152</v>
      </c>
      <c r="C248" s="1">
        <v>45153</v>
      </c>
      <c r="D248" s="13">
        <f>Table1[[#This Row],[Shipped date]]-Table1[[#This Row],[Order Date]]</f>
        <v>1</v>
      </c>
      <c r="E248" t="s">
        <v>28</v>
      </c>
      <c r="F248" s="13" t="str">
        <f>TEXT(Table1[[#This Row],[Order Date]],"MMMM")</f>
        <v>August</v>
      </c>
      <c r="G248" s="13">
        <f t="shared" si="6"/>
        <v>2023</v>
      </c>
      <c r="H248" s="13" t="str">
        <f t="shared" si="7"/>
        <v>Q3</v>
      </c>
      <c r="I248" s="1" t="s">
        <v>37</v>
      </c>
      <c r="J248" s="7" t="s">
        <v>32</v>
      </c>
      <c r="K248" s="7" t="s">
        <v>16</v>
      </c>
      <c r="L248" t="s">
        <v>33</v>
      </c>
      <c r="M248" s="9">
        <v>922.45</v>
      </c>
      <c r="N248" s="4">
        <v>4</v>
      </c>
      <c r="O248" s="12">
        <v>0</v>
      </c>
      <c r="P248" s="9">
        <v>72.430000000000007</v>
      </c>
      <c r="Q248" s="10">
        <f>Table1[[#This Row],[Profit]]/Table1[[#This Row],[Sales]]</f>
        <v>7.8519160930131712E-2</v>
      </c>
      <c r="R248" t="str">
        <f>IF(Table1[[#This Row],[Profit Margin]]&gt;0,"profit","loss")</f>
        <v>profit</v>
      </c>
      <c r="S248" t="str">
        <f>IF(Table1[[#This Row],[Discount]]=0,"No Discount",IF(Table1[[#This Row],[Discount]]&lt;=0.2,"low",IF(Table1[[#This Row],[Discount]]&lt;=0.3,"medium","high")))</f>
        <v>No Discount</v>
      </c>
      <c r="T248" s="15" t="str">
        <f>IF(Table1[[#This Row],[Days]]&lt;=2,"faster",IF(Table1[[#This Row],[Days]]&lt;=4,"Normal","slow"))</f>
        <v>faster</v>
      </c>
    </row>
    <row r="249" spans="1:20" x14ac:dyDescent="0.25">
      <c r="A249" s="4" t="s">
        <v>282</v>
      </c>
      <c r="B249" s="1">
        <v>45053</v>
      </c>
      <c r="C249" s="1">
        <v>45059</v>
      </c>
      <c r="D249" s="13">
        <f>Table1[[#This Row],[Shipped date]]-Table1[[#This Row],[Order Date]]</f>
        <v>6</v>
      </c>
      <c r="E249" t="s">
        <v>13</v>
      </c>
      <c r="F249" s="13" t="str">
        <f>TEXT(Table1[[#This Row],[Order Date]],"MMMM")</f>
        <v>May</v>
      </c>
      <c r="G249" s="13">
        <f t="shared" si="6"/>
        <v>2023</v>
      </c>
      <c r="H249" s="13" t="str">
        <f t="shared" si="7"/>
        <v>Q2</v>
      </c>
      <c r="I249" s="1" t="s">
        <v>37</v>
      </c>
      <c r="J249" s="7" t="s">
        <v>32</v>
      </c>
      <c r="K249" s="7" t="s">
        <v>22</v>
      </c>
      <c r="L249" t="s">
        <v>23</v>
      </c>
      <c r="M249" s="9">
        <v>870.94</v>
      </c>
      <c r="N249" s="4">
        <v>1</v>
      </c>
      <c r="O249" s="12">
        <v>0.3</v>
      </c>
      <c r="P249" s="9">
        <v>-141.81</v>
      </c>
      <c r="Q249" s="10">
        <f>Table1[[#This Row],[Profit]]/Table1[[#This Row],[Sales]]</f>
        <v>-0.16282407513720806</v>
      </c>
      <c r="R249" t="str">
        <f>IF(Table1[[#This Row],[Profit Margin]]&gt;0,"profit","loss")</f>
        <v>loss</v>
      </c>
      <c r="S249" t="str">
        <f>IF(Table1[[#This Row],[Discount]]=0,"No Discount",IF(Table1[[#This Row],[Discount]]&lt;=0.2,"low",IF(Table1[[#This Row],[Discount]]&lt;=0.3,"medium","high")))</f>
        <v>medium</v>
      </c>
      <c r="T249" s="15" t="str">
        <f>IF(Table1[[#This Row],[Days]]&lt;=2,"faster",IF(Table1[[#This Row],[Days]]&lt;=4,"Normal","slow"))</f>
        <v>slow</v>
      </c>
    </row>
    <row r="250" spans="1:20" x14ac:dyDescent="0.25">
      <c r="A250" s="4" t="s">
        <v>283</v>
      </c>
      <c r="B250" s="1">
        <v>45131</v>
      </c>
      <c r="C250" s="1">
        <v>45137</v>
      </c>
      <c r="D250" s="13">
        <f>Table1[[#This Row],[Shipped date]]-Table1[[#This Row],[Order Date]]</f>
        <v>6</v>
      </c>
      <c r="E250" t="s">
        <v>13</v>
      </c>
      <c r="F250" s="13" t="str">
        <f>TEXT(Table1[[#This Row],[Order Date]],"MMMM")</f>
        <v>July</v>
      </c>
      <c r="G250" s="13">
        <f t="shared" si="6"/>
        <v>2023</v>
      </c>
      <c r="H250" s="13" t="str">
        <f t="shared" si="7"/>
        <v>Q3</v>
      </c>
      <c r="I250" s="1" t="s">
        <v>20</v>
      </c>
      <c r="J250" s="7" t="s">
        <v>26</v>
      </c>
      <c r="K250" s="7" t="s">
        <v>16</v>
      </c>
      <c r="L250" t="s">
        <v>33</v>
      </c>
      <c r="M250" s="9">
        <v>200.83</v>
      </c>
      <c r="N250" s="4">
        <v>2</v>
      </c>
      <c r="O250" s="12">
        <v>0.2</v>
      </c>
      <c r="P250" s="9">
        <v>-2.52</v>
      </c>
      <c r="Q250" s="10">
        <f>Table1[[#This Row],[Profit]]/Table1[[#This Row],[Sales]]</f>
        <v>-1.2547926106657371E-2</v>
      </c>
      <c r="R250" t="str">
        <f>IF(Table1[[#This Row],[Profit Margin]]&gt;0,"profit","loss")</f>
        <v>loss</v>
      </c>
      <c r="S250" t="str">
        <f>IF(Table1[[#This Row],[Discount]]=0,"No Discount",IF(Table1[[#This Row],[Discount]]&lt;=0.2,"low",IF(Table1[[#This Row],[Discount]]&lt;=0.3,"medium","high")))</f>
        <v>low</v>
      </c>
      <c r="T250" s="15" t="str">
        <f>IF(Table1[[#This Row],[Days]]&lt;=2,"faster",IF(Table1[[#This Row],[Days]]&lt;=4,"Normal","slow"))</f>
        <v>slow</v>
      </c>
    </row>
    <row r="251" spans="1:20" x14ac:dyDescent="0.25">
      <c r="A251" s="4" t="s">
        <v>284</v>
      </c>
      <c r="B251" s="1">
        <v>45137</v>
      </c>
      <c r="C251" s="1">
        <v>45144</v>
      </c>
      <c r="D251" s="13">
        <f>Table1[[#This Row],[Shipped date]]-Table1[[#This Row],[Order Date]]</f>
        <v>7</v>
      </c>
      <c r="E251" t="s">
        <v>25</v>
      </c>
      <c r="F251" s="13" t="str">
        <f>TEXT(Table1[[#This Row],[Order Date]],"MMMM")</f>
        <v>July</v>
      </c>
      <c r="G251" s="13">
        <f t="shared" si="6"/>
        <v>2023</v>
      </c>
      <c r="H251" s="13" t="str">
        <f t="shared" si="7"/>
        <v>Q3</v>
      </c>
      <c r="I251" s="1" t="s">
        <v>37</v>
      </c>
      <c r="J251" s="7" t="s">
        <v>32</v>
      </c>
      <c r="K251" s="7" t="s">
        <v>29</v>
      </c>
      <c r="L251" t="s">
        <v>30</v>
      </c>
      <c r="M251" s="9">
        <v>925.56</v>
      </c>
      <c r="N251" s="4">
        <v>4</v>
      </c>
      <c r="O251" s="12">
        <v>0.1</v>
      </c>
      <c r="P251" s="9">
        <v>23.28</v>
      </c>
      <c r="Q251" s="10">
        <f>Table1[[#This Row],[Profit]]/Table1[[#This Row],[Sales]]</f>
        <v>2.5152340204848959E-2</v>
      </c>
      <c r="R251" t="str">
        <f>IF(Table1[[#This Row],[Profit Margin]]&gt;0,"profit","loss")</f>
        <v>profit</v>
      </c>
      <c r="S251" t="str">
        <f>IF(Table1[[#This Row],[Discount]]=0,"No Discount",IF(Table1[[#This Row],[Discount]]&lt;=0.2,"low",IF(Table1[[#This Row],[Discount]]&lt;=0.3,"medium","high")))</f>
        <v>low</v>
      </c>
      <c r="T251" s="15" t="str">
        <f>IF(Table1[[#This Row],[Days]]&lt;=2,"faster",IF(Table1[[#This Row],[Days]]&lt;=4,"Normal","slow"))</f>
        <v>slow</v>
      </c>
    </row>
    <row r="252" spans="1:20" x14ac:dyDescent="0.25">
      <c r="A252" s="4" t="s">
        <v>285</v>
      </c>
      <c r="B252" s="1">
        <v>45200</v>
      </c>
      <c r="C252" s="1">
        <v>45202</v>
      </c>
      <c r="D252" s="13">
        <f>Table1[[#This Row],[Shipped date]]-Table1[[#This Row],[Order Date]]</f>
        <v>2</v>
      </c>
      <c r="E252" t="s">
        <v>28</v>
      </c>
      <c r="F252" s="13" t="str">
        <f>TEXT(Table1[[#This Row],[Order Date]],"MMMM")</f>
        <v>October</v>
      </c>
      <c r="G252" s="13">
        <f t="shared" si="6"/>
        <v>2023</v>
      </c>
      <c r="H252" s="13" t="str">
        <f t="shared" si="7"/>
        <v>Q4</v>
      </c>
      <c r="I252" s="1" t="s">
        <v>37</v>
      </c>
      <c r="J252" s="7" t="s">
        <v>21</v>
      </c>
      <c r="K252" s="7" t="s">
        <v>16</v>
      </c>
      <c r="L252" t="s">
        <v>38</v>
      </c>
      <c r="M252" s="9">
        <v>381.54</v>
      </c>
      <c r="N252" s="4">
        <v>8</v>
      </c>
      <c r="O252" s="12">
        <v>0.3</v>
      </c>
      <c r="P252" s="9">
        <v>-45.87</v>
      </c>
      <c r="Q252" s="10">
        <f>Table1[[#This Row],[Profit]]/Table1[[#This Row],[Sales]]</f>
        <v>-0.12022330555118728</v>
      </c>
      <c r="R252" t="str">
        <f>IF(Table1[[#This Row],[Profit Margin]]&gt;0,"profit","loss")</f>
        <v>loss</v>
      </c>
      <c r="S252" t="str">
        <f>IF(Table1[[#This Row],[Discount]]=0,"No Discount",IF(Table1[[#This Row],[Discount]]&lt;=0.2,"low",IF(Table1[[#This Row],[Discount]]&lt;=0.3,"medium","high")))</f>
        <v>medium</v>
      </c>
      <c r="T252" s="15" t="str">
        <f>IF(Table1[[#This Row],[Days]]&lt;=2,"faster",IF(Table1[[#This Row],[Days]]&lt;=4,"Normal","slow"))</f>
        <v>faster</v>
      </c>
    </row>
    <row r="253" spans="1:20" x14ac:dyDescent="0.25">
      <c r="A253" s="4" t="s">
        <v>286</v>
      </c>
      <c r="B253" s="1">
        <v>45043</v>
      </c>
      <c r="C253" s="1">
        <v>45044</v>
      </c>
      <c r="D253" s="13">
        <f>Table1[[#This Row],[Shipped date]]-Table1[[#This Row],[Order Date]]</f>
        <v>1</v>
      </c>
      <c r="E253" t="s">
        <v>28</v>
      </c>
      <c r="F253" s="13" t="str">
        <f>TEXT(Table1[[#This Row],[Order Date]],"MMMM")</f>
        <v>April</v>
      </c>
      <c r="G253" s="13">
        <f t="shared" si="6"/>
        <v>2023</v>
      </c>
      <c r="H253" s="13" t="str">
        <f t="shared" si="7"/>
        <v>Q2</v>
      </c>
      <c r="I253" s="1" t="s">
        <v>37</v>
      </c>
      <c r="J253" s="7" t="s">
        <v>32</v>
      </c>
      <c r="K253" s="7" t="s">
        <v>22</v>
      </c>
      <c r="L253" t="s">
        <v>23</v>
      </c>
      <c r="M253" s="9">
        <v>81.09</v>
      </c>
      <c r="N253" s="4">
        <v>10</v>
      </c>
      <c r="O253" s="12">
        <v>0.2</v>
      </c>
      <c r="P253" s="9">
        <v>-10.44</v>
      </c>
      <c r="Q253" s="10">
        <f>Table1[[#This Row],[Profit]]/Table1[[#This Row],[Sales]]</f>
        <v>-0.12874583795782463</v>
      </c>
      <c r="R253" t="str">
        <f>IF(Table1[[#This Row],[Profit Margin]]&gt;0,"profit","loss")</f>
        <v>loss</v>
      </c>
      <c r="S253" t="str">
        <f>IF(Table1[[#This Row],[Discount]]=0,"No Discount",IF(Table1[[#This Row],[Discount]]&lt;=0.2,"low",IF(Table1[[#This Row],[Discount]]&lt;=0.3,"medium","high")))</f>
        <v>low</v>
      </c>
      <c r="T253" s="15" t="str">
        <f>IF(Table1[[#This Row],[Days]]&lt;=2,"faster",IF(Table1[[#This Row],[Days]]&lt;=4,"Normal","slow"))</f>
        <v>faster</v>
      </c>
    </row>
    <row r="254" spans="1:20" x14ac:dyDescent="0.25">
      <c r="A254" s="4" t="s">
        <v>287</v>
      </c>
      <c r="B254" s="1">
        <v>45241</v>
      </c>
      <c r="C254" s="1">
        <v>45245</v>
      </c>
      <c r="D254" s="13">
        <f>Table1[[#This Row],[Shipped date]]-Table1[[#This Row],[Order Date]]</f>
        <v>4</v>
      </c>
      <c r="E254" t="s">
        <v>13</v>
      </c>
      <c r="F254" s="13" t="str">
        <f>TEXT(Table1[[#This Row],[Order Date]],"MMMM")</f>
        <v>November</v>
      </c>
      <c r="G254" s="13">
        <f t="shared" si="6"/>
        <v>2023</v>
      </c>
      <c r="H254" s="13" t="str">
        <f t="shared" si="7"/>
        <v>Q4</v>
      </c>
      <c r="I254" s="1" t="s">
        <v>37</v>
      </c>
      <c r="J254" s="7" t="s">
        <v>32</v>
      </c>
      <c r="K254" s="7" t="s">
        <v>16</v>
      </c>
      <c r="L254" t="s">
        <v>17</v>
      </c>
      <c r="M254" s="9">
        <v>719.08</v>
      </c>
      <c r="N254" s="4">
        <v>6</v>
      </c>
      <c r="O254" s="12">
        <v>0.2</v>
      </c>
      <c r="P254" s="9">
        <v>-32.799999999999997</v>
      </c>
      <c r="Q254" s="10">
        <f>Table1[[#This Row],[Profit]]/Table1[[#This Row],[Sales]]</f>
        <v>-4.561383990654725E-2</v>
      </c>
      <c r="R254" t="str">
        <f>IF(Table1[[#This Row],[Profit Margin]]&gt;0,"profit","loss")</f>
        <v>loss</v>
      </c>
      <c r="S254" t="str">
        <f>IF(Table1[[#This Row],[Discount]]=0,"No Discount",IF(Table1[[#This Row],[Discount]]&lt;=0.2,"low",IF(Table1[[#This Row],[Discount]]&lt;=0.3,"medium","high")))</f>
        <v>low</v>
      </c>
      <c r="T254" s="15" t="str">
        <f>IF(Table1[[#This Row],[Days]]&lt;=2,"faster",IF(Table1[[#This Row],[Days]]&lt;=4,"Normal","slow"))</f>
        <v>Normal</v>
      </c>
    </row>
    <row r="255" spans="1:20" x14ac:dyDescent="0.25">
      <c r="A255" s="4" t="s">
        <v>288</v>
      </c>
      <c r="B255" s="1">
        <v>45238</v>
      </c>
      <c r="C255" s="1">
        <v>45244</v>
      </c>
      <c r="D255" s="13">
        <f>Table1[[#This Row],[Shipped date]]-Table1[[#This Row],[Order Date]]</f>
        <v>6</v>
      </c>
      <c r="E255" t="s">
        <v>28</v>
      </c>
      <c r="F255" s="13" t="str">
        <f>TEXT(Table1[[#This Row],[Order Date]],"MMMM")</f>
        <v>November</v>
      </c>
      <c r="G255" s="13">
        <f t="shared" si="6"/>
        <v>2023</v>
      </c>
      <c r="H255" s="13" t="str">
        <f t="shared" si="7"/>
        <v>Q4</v>
      </c>
      <c r="I255" s="1" t="s">
        <v>37</v>
      </c>
      <c r="J255" s="7" t="s">
        <v>32</v>
      </c>
      <c r="K255" s="7" t="s">
        <v>16</v>
      </c>
      <c r="L255" t="s">
        <v>17</v>
      </c>
      <c r="M255" s="9">
        <v>754.62</v>
      </c>
      <c r="N255" s="4">
        <v>10</v>
      </c>
      <c r="O255" s="12">
        <v>0.3</v>
      </c>
      <c r="P255" s="9">
        <v>-163.41999999999999</v>
      </c>
      <c r="Q255" s="10">
        <f>Table1[[#This Row],[Profit]]/Table1[[#This Row],[Sales]]</f>
        <v>-0.21655932787363175</v>
      </c>
      <c r="R255" t="str">
        <f>IF(Table1[[#This Row],[Profit Margin]]&gt;0,"profit","loss")</f>
        <v>loss</v>
      </c>
      <c r="S255" t="str">
        <f>IF(Table1[[#This Row],[Discount]]=0,"No Discount",IF(Table1[[#This Row],[Discount]]&lt;=0.2,"low",IF(Table1[[#This Row],[Discount]]&lt;=0.3,"medium","high")))</f>
        <v>medium</v>
      </c>
      <c r="T255" s="15" t="str">
        <f>IF(Table1[[#This Row],[Days]]&lt;=2,"faster",IF(Table1[[#This Row],[Days]]&lt;=4,"Normal","slow"))</f>
        <v>slow</v>
      </c>
    </row>
    <row r="256" spans="1:20" x14ac:dyDescent="0.25">
      <c r="A256" s="4" t="s">
        <v>289</v>
      </c>
      <c r="B256" s="1">
        <v>45037</v>
      </c>
      <c r="C256" s="1">
        <v>45042</v>
      </c>
      <c r="D256" s="13">
        <f>Table1[[#This Row],[Shipped date]]-Table1[[#This Row],[Order Date]]</f>
        <v>5</v>
      </c>
      <c r="E256" t="s">
        <v>28</v>
      </c>
      <c r="F256" s="13" t="str">
        <f>TEXT(Table1[[#This Row],[Order Date]],"MMMM")</f>
        <v>April</v>
      </c>
      <c r="G256" s="13">
        <f t="shared" si="6"/>
        <v>2023</v>
      </c>
      <c r="H256" s="13" t="str">
        <f t="shared" si="7"/>
        <v>Q2</v>
      </c>
      <c r="I256" s="1" t="s">
        <v>20</v>
      </c>
      <c r="J256" s="7" t="s">
        <v>15</v>
      </c>
      <c r="K256" s="7" t="s">
        <v>29</v>
      </c>
      <c r="L256" t="s">
        <v>45</v>
      </c>
      <c r="M256" s="9">
        <v>458.46</v>
      </c>
      <c r="N256" s="4">
        <v>9</v>
      </c>
      <c r="O256" s="12">
        <v>0.2</v>
      </c>
      <c r="P256" s="9">
        <v>-38.04</v>
      </c>
      <c r="Q256" s="10">
        <f>Table1[[#This Row],[Profit]]/Table1[[#This Row],[Sales]]</f>
        <v>-8.2973432796754357E-2</v>
      </c>
      <c r="R256" t="str">
        <f>IF(Table1[[#This Row],[Profit Margin]]&gt;0,"profit","loss")</f>
        <v>loss</v>
      </c>
      <c r="S256" t="str">
        <f>IF(Table1[[#This Row],[Discount]]=0,"No Discount",IF(Table1[[#This Row],[Discount]]&lt;=0.2,"low",IF(Table1[[#This Row],[Discount]]&lt;=0.3,"medium","high")))</f>
        <v>low</v>
      </c>
      <c r="T256" s="15" t="str">
        <f>IF(Table1[[#This Row],[Days]]&lt;=2,"faster",IF(Table1[[#This Row],[Days]]&lt;=4,"Normal","slow"))</f>
        <v>slow</v>
      </c>
    </row>
    <row r="257" spans="1:20" x14ac:dyDescent="0.25">
      <c r="A257" s="4" t="s">
        <v>290</v>
      </c>
      <c r="B257" s="1">
        <v>45235</v>
      </c>
      <c r="C257" s="1">
        <v>45237</v>
      </c>
      <c r="D257" s="13">
        <f>Table1[[#This Row],[Shipped date]]-Table1[[#This Row],[Order Date]]</f>
        <v>2</v>
      </c>
      <c r="E257" t="s">
        <v>25</v>
      </c>
      <c r="F257" s="13" t="str">
        <f>TEXT(Table1[[#This Row],[Order Date]],"MMMM")</f>
        <v>November</v>
      </c>
      <c r="G257" s="13">
        <f t="shared" si="6"/>
        <v>2023</v>
      </c>
      <c r="H257" s="13" t="str">
        <f t="shared" si="7"/>
        <v>Q4</v>
      </c>
      <c r="I257" s="1" t="s">
        <v>14</v>
      </c>
      <c r="J257" s="7" t="s">
        <v>21</v>
      </c>
      <c r="K257" s="7" t="s">
        <v>29</v>
      </c>
      <c r="L257" t="s">
        <v>30</v>
      </c>
      <c r="M257" s="9">
        <v>122.77</v>
      </c>
      <c r="N257" s="4">
        <v>4</v>
      </c>
      <c r="O257" s="12">
        <v>0.2</v>
      </c>
      <c r="P257" s="9">
        <v>-5.87</v>
      </c>
      <c r="Q257" s="10">
        <f>Table1[[#This Row],[Profit]]/Table1[[#This Row],[Sales]]</f>
        <v>-4.7812983627922134E-2</v>
      </c>
      <c r="R257" t="str">
        <f>IF(Table1[[#This Row],[Profit Margin]]&gt;0,"profit","loss")</f>
        <v>loss</v>
      </c>
      <c r="S257" t="str">
        <f>IF(Table1[[#This Row],[Discount]]=0,"No Discount",IF(Table1[[#This Row],[Discount]]&lt;=0.2,"low",IF(Table1[[#This Row],[Discount]]&lt;=0.3,"medium","high")))</f>
        <v>low</v>
      </c>
      <c r="T257" s="15" t="str">
        <f>IF(Table1[[#This Row],[Days]]&lt;=2,"faster",IF(Table1[[#This Row],[Days]]&lt;=4,"Normal","slow"))</f>
        <v>faster</v>
      </c>
    </row>
    <row r="258" spans="1:20" x14ac:dyDescent="0.25">
      <c r="A258" s="4" t="s">
        <v>291</v>
      </c>
      <c r="B258" s="1">
        <v>45083</v>
      </c>
      <c r="C258" s="1">
        <v>45089</v>
      </c>
      <c r="D258" s="13">
        <f>Table1[[#This Row],[Shipped date]]-Table1[[#This Row],[Order Date]]</f>
        <v>6</v>
      </c>
      <c r="E258" t="s">
        <v>13</v>
      </c>
      <c r="F258" s="13" t="str">
        <f>TEXT(Table1[[#This Row],[Order Date]],"MMMM")</f>
        <v>June</v>
      </c>
      <c r="G258" s="13">
        <f t="shared" si="6"/>
        <v>2023</v>
      </c>
      <c r="H258" s="13" t="str">
        <f t="shared" si="7"/>
        <v>Q2</v>
      </c>
      <c r="I258" s="1" t="s">
        <v>20</v>
      </c>
      <c r="J258" s="7" t="s">
        <v>15</v>
      </c>
      <c r="K258" s="7" t="s">
        <v>29</v>
      </c>
      <c r="L258" t="s">
        <v>30</v>
      </c>
      <c r="M258" s="9">
        <v>39.67</v>
      </c>
      <c r="N258" s="4">
        <v>2</v>
      </c>
      <c r="O258" s="12">
        <v>0</v>
      </c>
      <c r="P258" s="9">
        <v>42.82</v>
      </c>
      <c r="Q258" s="10">
        <f>Table1[[#This Row],[Profit]]/Table1[[#This Row],[Sales]]</f>
        <v>1.0794050920090748</v>
      </c>
      <c r="R258" t="str">
        <f>IF(Table1[[#This Row],[Profit Margin]]&gt;0,"profit","loss")</f>
        <v>profit</v>
      </c>
      <c r="S258" t="str">
        <f>IF(Table1[[#This Row],[Discount]]=0,"No Discount",IF(Table1[[#This Row],[Discount]]&lt;=0.2,"low",IF(Table1[[#This Row],[Discount]]&lt;=0.3,"medium","high")))</f>
        <v>No Discount</v>
      </c>
      <c r="T258" s="15" t="str">
        <f>IF(Table1[[#This Row],[Days]]&lt;=2,"faster",IF(Table1[[#This Row],[Days]]&lt;=4,"Normal","slow"))</f>
        <v>slow</v>
      </c>
    </row>
    <row r="259" spans="1:20" x14ac:dyDescent="0.25">
      <c r="A259" s="4" t="s">
        <v>292</v>
      </c>
      <c r="B259" s="1">
        <v>45107</v>
      </c>
      <c r="C259" s="1">
        <v>45110</v>
      </c>
      <c r="D259" s="13">
        <f>Table1[[#This Row],[Shipped date]]-Table1[[#This Row],[Order Date]]</f>
        <v>3</v>
      </c>
      <c r="E259" t="s">
        <v>25</v>
      </c>
      <c r="F259" s="13" t="str">
        <f>TEXT(Table1[[#This Row],[Order Date]],"MMMM")</f>
        <v>June</v>
      </c>
      <c r="G259" s="13">
        <f t="shared" ref="G259:G322" si="8">YEAR(B259)</f>
        <v>2023</v>
      </c>
      <c r="H259" s="13" t="str">
        <f t="shared" ref="H259:H322" si="9">"Q" &amp;ROUNDUP(MONTH(B259)/3,0)</f>
        <v>Q2</v>
      </c>
      <c r="I259" s="1" t="s">
        <v>14</v>
      </c>
      <c r="J259" s="7" t="s">
        <v>21</v>
      </c>
      <c r="K259" s="7" t="s">
        <v>29</v>
      </c>
      <c r="L259" t="s">
        <v>45</v>
      </c>
      <c r="M259" s="9">
        <v>107.42</v>
      </c>
      <c r="N259" s="4">
        <v>5</v>
      </c>
      <c r="O259" s="12">
        <v>0.1</v>
      </c>
      <c r="P259" s="9">
        <v>-11.62</v>
      </c>
      <c r="Q259" s="10">
        <f>Table1[[#This Row],[Profit]]/Table1[[#This Row],[Sales]]</f>
        <v>-0.10817352448333643</v>
      </c>
      <c r="R259" t="str">
        <f>IF(Table1[[#This Row],[Profit Margin]]&gt;0,"profit","loss")</f>
        <v>loss</v>
      </c>
      <c r="S259" t="str">
        <f>IF(Table1[[#This Row],[Discount]]=0,"No Discount",IF(Table1[[#This Row],[Discount]]&lt;=0.2,"low",IF(Table1[[#This Row],[Discount]]&lt;=0.3,"medium","high")))</f>
        <v>low</v>
      </c>
      <c r="T259" s="15" t="str">
        <f>IF(Table1[[#This Row],[Days]]&lt;=2,"faster",IF(Table1[[#This Row],[Days]]&lt;=4,"Normal","slow"))</f>
        <v>Normal</v>
      </c>
    </row>
    <row r="260" spans="1:20" x14ac:dyDescent="0.25">
      <c r="A260" s="4" t="s">
        <v>293</v>
      </c>
      <c r="B260" s="1">
        <v>44982</v>
      </c>
      <c r="C260" s="1">
        <v>44984</v>
      </c>
      <c r="D260" s="13">
        <f>Table1[[#This Row],[Shipped date]]-Table1[[#This Row],[Order Date]]</f>
        <v>2</v>
      </c>
      <c r="E260" t="s">
        <v>13</v>
      </c>
      <c r="F260" s="13" t="str">
        <f>TEXT(Table1[[#This Row],[Order Date]],"MMMM")</f>
        <v>February</v>
      </c>
      <c r="G260" s="13">
        <f t="shared" si="8"/>
        <v>2023</v>
      </c>
      <c r="H260" s="13" t="str">
        <f t="shared" si="9"/>
        <v>Q1</v>
      </c>
      <c r="I260" s="1" t="s">
        <v>20</v>
      </c>
      <c r="J260" s="7" t="s">
        <v>32</v>
      </c>
      <c r="K260" s="7" t="s">
        <v>22</v>
      </c>
      <c r="L260" t="s">
        <v>23</v>
      </c>
      <c r="M260" s="9">
        <v>892.72</v>
      </c>
      <c r="N260" s="4">
        <v>1</v>
      </c>
      <c r="O260" s="12">
        <v>0.3</v>
      </c>
      <c r="P260" s="9">
        <v>-165.37</v>
      </c>
      <c r="Q260" s="10">
        <f>Table1[[#This Row],[Profit]]/Table1[[#This Row],[Sales]]</f>
        <v>-0.18524285330226722</v>
      </c>
      <c r="R260" t="str">
        <f>IF(Table1[[#This Row],[Profit Margin]]&gt;0,"profit","loss")</f>
        <v>loss</v>
      </c>
      <c r="S260" t="str">
        <f>IF(Table1[[#This Row],[Discount]]=0,"No Discount",IF(Table1[[#This Row],[Discount]]&lt;=0.2,"low",IF(Table1[[#This Row],[Discount]]&lt;=0.3,"medium","high")))</f>
        <v>medium</v>
      </c>
      <c r="T260" s="15" t="str">
        <f>IF(Table1[[#This Row],[Days]]&lt;=2,"faster",IF(Table1[[#This Row],[Days]]&lt;=4,"Normal","slow"))</f>
        <v>faster</v>
      </c>
    </row>
    <row r="261" spans="1:20" x14ac:dyDescent="0.25">
      <c r="A261" s="4" t="s">
        <v>294</v>
      </c>
      <c r="B261" s="1">
        <v>45213</v>
      </c>
      <c r="C261" s="1">
        <v>45220</v>
      </c>
      <c r="D261" s="13">
        <f>Table1[[#This Row],[Shipped date]]-Table1[[#This Row],[Order Date]]</f>
        <v>7</v>
      </c>
      <c r="E261" t="s">
        <v>19</v>
      </c>
      <c r="F261" s="13" t="str">
        <f>TEXT(Table1[[#This Row],[Order Date]],"MMMM")</f>
        <v>October</v>
      </c>
      <c r="G261" s="13">
        <f t="shared" si="8"/>
        <v>2023</v>
      </c>
      <c r="H261" s="13" t="str">
        <f t="shared" si="9"/>
        <v>Q4</v>
      </c>
      <c r="I261" s="1" t="s">
        <v>20</v>
      </c>
      <c r="J261" s="7" t="s">
        <v>21</v>
      </c>
      <c r="K261" s="7" t="s">
        <v>16</v>
      </c>
      <c r="L261" t="s">
        <v>17</v>
      </c>
      <c r="M261" s="9">
        <v>368</v>
      </c>
      <c r="N261" s="4">
        <v>2</v>
      </c>
      <c r="O261" s="12">
        <v>0</v>
      </c>
      <c r="P261" s="9">
        <v>51.69</v>
      </c>
      <c r="Q261" s="10">
        <f>Table1[[#This Row],[Profit]]/Table1[[#This Row],[Sales]]</f>
        <v>0.14046195652173912</v>
      </c>
      <c r="R261" t="str">
        <f>IF(Table1[[#This Row],[Profit Margin]]&gt;0,"profit","loss")</f>
        <v>profit</v>
      </c>
      <c r="S261" t="str">
        <f>IF(Table1[[#This Row],[Discount]]=0,"No Discount",IF(Table1[[#This Row],[Discount]]&lt;=0.2,"low",IF(Table1[[#This Row],[Discount]]&lt;=0.3,"medium","high")))</f>
        <v>No Discount</v>
      </c>
      <c r="T261" s="15" t="str">
        <f>IF(Table1[[#This Row],[Days]]&lt;=2,"faster",IF(Table1[[#This Row],[Days]]&lt;=4,"Normal","slow"))</f>
        <v>slow</v>
      </c>
    </row>
    <row r="262" spans="1:20" x14ac:dyDescent="0.25">
      <c r="A262" s="4" t="s">
        <v>295</v>
      </c>
      <c r="B262" s="1">
        <v>45201</v>
      </c>
      <c r="C262" s="1">
        <v>45206</v>
      </c>
      <c r="D262" s="13">
        <f>Table1[[#This Row],[Shipped date]]-Table1[[#This Row],[Order Date]]</f>
        <v>5</v>
      </c>
      <c r="E262" t="s">
        <v>19</v>
      </c>
      <c r="F262" s="13" t="str">
        <f>TEXT(Table1[[#This Row],[Order Date]],"MMMM")</f>
        <v>October</v>
      </c>
      <c r="G262" s="13">
        <f t="shared" si="8"/>
        <v>2023</v>
      </c>
      <c r="H262" s="13" t="str">
        <f t="shared" si="9"/>
        <v>Q4</v>
      </c>
      <c r="I262" s="1" t="s">
        <v>14</v>
      </c>
      <c r="J262" s="7" t="s">
        <v>32</v>
      </c>
      <c r="K262" s="7" t="s">
        <v>16</v>
      </c>
      <c r="L262" t="s">
        <v>38</v>
      </c>
      <c r="M262" s="9">
        <v>105.18</v>
      </c>
      <c r="N262" s="4">
        <v>1</v>
      </c>
      <c r="O262" s="12">
        <v>0.2</v>
      </c>
      <c r="P262" s="9">
        <v>21.06</v>
      </c>
      <c r="Q262" s="10">
        <f>Table1[[#This Row],[Profit]]/Table1[[#This Row],[Sales]]</f>
        <v>0.20022818026240727</v>
      </c>
      <c r="R262" t="str">
        <f>IF(Table1[[#This Row],[Profit Margin]]&gt;0,"profit","loss")</f>
        <v>profit</v>
      </c>
      <c r="S262" t="str">
        <f>IF(Table1[[#This Row],[Discount]]=0,"No Discount",IF(Table1[[#This Row],[Discount]]&lt;=0.2,"low",IF(Table1[[#This Row],[Discount]]&lt;=0.3,"medium","high")))</f>
        <v>low</v>
      </c>
      <c r="T262" s="15" t="str">
        <f>IF(Table1[[#This Row],[Days]]&lt;=2,"faster",IF(Table1[[#This Row],[Days]]&lt;=4,"Normal","slow"))</f>
        <v>slow</v>
      </c>
    </row>
    <row r="263" spans="1:20" x14ac:dyDescent="0.25">
      <c r="A263" s="4" t="s">
        <v>296</v>
      </c>
      <c r="B263" s="1">
        <v>45282</v>
      </c>
      <c r="C263" s="1">
        <v>45284</v>
      </c>
      <c r="D263" s="13">
        <f>Table1[[#This Row],[Shipped date]]-Table1[[#This Row],[Order Date]]</f>
        <v>2</v>
      </c>
      <c r="E263" t="s">
        <v>13</v>
      </c>
      <c r="F263" s="13" t="str">
        <f>TEXT(Table1[[#This Row],[Order Date]],"MMMM")</f>
        <v>December</v>
      </c>
      <c r="G263" s="13">
        <f t="shared" si="8"/>
        <v>2023</v>
      </c>
      <c r="H263" s="13" t="str">
        <f t="shared" si="9"/>
        <v>Q4</v>
      </c>
      <c r="I263" s="1" t="s">
        <v>14</v>
      </c>
      <c r="J263" s="7" t="s">
        <v>15</v>
      </c>
      <c r="K263" s="7" t="s">
        <v>22</v>
      </c>
      <c r="L263" t="s">
        <v>23</v>
      </c>
      <c r="M263" s="9">
        <v>566.59</v>
      </c>
      <c r="N263" s="4">
        <v>8</v>
      </c>
      <c r="O263" s="12">
        <v>0.3</v>
      </c>
      <c r="P263" s="9">
        <v>-103.1</v>
      </c>
      <c r="Q263" s="10">
        <f>Table1[[#This Row],[Profit]]/Table1[[#This Row],[Sales]]</f>
        <v>-0.18196579537231505</v>
      </c>
      <c r="R263" t="str">
        <f>IF(Table1[[#This Row],[Profit Margin]]&gt;0,"profit","loss")</f>
        <v>loss</v>
      </c>
      <c r="S263" t="str">
        <f>IF(Table1[[#This Row],[Discount]]=0,"No Discount",IF(Table1[[#This Row],[Discount]]&lt;=0.2,"low",IF(Table1[[#This Row],[Discount]]&lt;=0.3,"medium","high")))</f>
        <v>medium</v>
      </c>
      <c r="T263" s="15" t="str">
        <f>IF(Table1[[#This Row],[Days]]&lt;=2,"faster",IF(Table1[[#This Row],[Days]]&lt;=4,"Normal","slow"))</f>
        <v>faster</v>
      </c>
    </row>
    <row r="264" spans="1:20" x14ac:dyDescent="0.25">
      <c r="A264" s="4" t="s">
        <v>297</v>
      </c>
      <c r="B264" s="1">
        <v>44960</v>
      </c>
      <c r="C264" s="1">
        <v>44966</v>
      </c>
      <c r="D264" s="13">
        <f>Table1[[#This Row],[Shipped date]]-Table1[[#This Row],[Order Date]]</f>
        <v>6</v>
      </c>
      <c r="E264" t="s">
        <v>19</v>
      </c>
      <c r="F264" s="13" t="str">
        <f>TEXT(Table1[[#This Row],[Order Date]],"MMMM")</f>
        <v>February</v>
      </c>
      <c r="G264" s="13">
        <f t="shared" si="8"/>
        <v>2023</v>
      </c>
      <c r="H264" s="13" t="str">
        <f t="shared" si="9"/>
        <v>Q1</v>
      </c>
      <c r="I264" s="1" t="s">
        <v>14</v>
      </c>
      <c r="J264" s="7" t="s">
        <v>32</v>
      </c>
      <c r="K264" s="7" t="s">
        <v>22</v>
      </c>
      <c r="L264" t="s">
        <v>40</v>
      </c>
      <c r="M264" s="9">
        <v>145.03</v>
      </c>
      <c r="N264" s="4">
        <v>7</v>
      </c>
      <c r="O264" s="12">
        <v>0</v>
      </c>
      <c r="P264" s="9">
        <v>18.12</v>
      </c>
      <c r="Q264" s="10">
        <f>Table1[[#This Row],[Profit]]/Table1[[#This Row],[Sales]]</f>
        <v>0.12493966765496795</v>
      </c>
      <c r="R264" t="str">
        <f>IF(Table1[[#This Row],[Profit Margin]]&gt;0,"profit","loss")</f>
        <v>profit</v>
      </c>
      <c r="S264" t="str">
        <f>IF(Table1[[#This Row],[Discount]]=0,"No Discount",IF(Table1[[#This Row],[Discount]]&lt;=0.2,"low",IF(Table1[[#This Row],[Discount]]&lt;=0.3,"medium","high")))</f>
        <v>No Discount</v>
      </c>
      <c r="T264" s="15" t="str">
        <f>IF(Table1[[#This Row],[Days]]&lt;=2,"faster",IF(Table1[[#This Row],[Days]]&lt;=4,"Normal","slow"))</f>
        <v>slow</v>
      </c>
    </row>
    <row r="265" spans="1:20" x14ac:dyDescent="0.25">
      <c r="A265" s="4" t="s">
        <v>298</v>
      </c>
      <c r="B265" s="1">
        <v>45160</v>
      </c>
      <c r="C265" s="1">
        <v>45165</v>
      </c>
      <c r="D265" s="13">
        <f>Table1[[#This Row],[Shipped date]]-Table1[[#This Row],[Order Date]]</f>
        <v>5</v>
      </c>
      <c r="E265" t="s">
        <v>28</v>
      </c>
      <c r="F265" s="13" t="str">
        <f>TEXT(Table1[[#This Row],[Order Date]],"MMMM")</f>
        <v>August</v>
      </c>
      <c r="G265" s="13">
        <f t="shared" si="8"/>
        <v>2023</v>
      </c>
      <c r="H265" s="13" t="str">
        <f t="shared" si="9"/>
        <v>Q3</v>
      </c>
      <c r="I265" s="1" t="s">
        <v>14</v>
      </c>
      <c r="J265" s="7" t="s">
        <v>15</v>
      </c>
      <c r="K265" s="7" t="s">
        <v>29</v>
      </c>
      <c r="L265" t="s">
        <v>45</v>
      </c>
      <c r="M265" s="9">
        <v>901.65</v>
      </c>
      <c r="N265" s="4">
        <v>3</v>
      </c>
      <c r="O265" s="12">
        <v>0.3</v>
      </c>
      <c r="P265" s="9">
        <v>-160.38</v>
      </c>
      <c r="Q265" s="10">
        <f>Table1[[#This Row],[Profit]]/Table1[[#This Row],[Sales]]</f>
        <v>-0.17787389785393445</v>
      </c>
      <c r="R265" t="str">
        <f>IF(Table1[[#This Row],[Profit Margin]]&gt;0,"profit","loss")</f>
        <v>loss</v>
      </c>
      <c r="S265" t="str">
        <f>IF(Table1[[#This Row],[Discount]]=0,"No Discount",IF(Table1[[#This Row],[Discount]]&lt;=0.2,"low",IF(Table1[[#This Row],[Discount]]&lt;=0.3,"medium","high")))</f>
        <v>medium</v>
      </c>
      <c r="T265" s="15" t="str">
        <f>IF(Table1[[#This Row],[Days]]&lt;=2,"faster",IF(Table1[[#This Row],[Days]]&lt;=4,"Normal","slow"))</f>
        <v>slow</v>
      </c>
    </row>
    <row r="266" spans="1:20" x14ac:dyDescent="0.25">
      <c r="A266" s="4" t="s">
        <v>299</v>
      </c>
      <c r="B266" s="1">
        <v>45099</v>
      </c>
      <c r="C266" s="1">
        <v>45100</v>
      </c>
      <c r="D266" s="13">
        <f>Table1[[#This Row],[Shipped date]]-Table1[[#This Row],[Order Date]]</f>
        <v>1</v>
      </c>
      <c r="E266" t="s">
        <v>13</v>
      </c>
      <c r="F266" s="13" t="str">
        <f>TEXT(Table1[[#This Row],[Order Date]],"MMMM")</f>
        <v>June</v>
      </c>
      <c r="G266" s="13">
        <f t="shared" si="8"/>
        <v>2023</v>
      </c>
      <c r="H266" s="13" t="str">
        <f t="shared" si="9"/>
        <v>Q2</v>
      </c>
      <c r="I266" s="1" t="s">
        <v>37</v>
      </c>
      <c r="J266" s="7" t="s">
        <v>26</v>
      </c>
      <c r="K266" s="7" t="s">
        <v>29</v>
      </c>
      <c r="L266" t="s">
        <v>43</v>
      </c>
      <c r="M266" s="9">
        <v>368.97</v>
      </c>
      <c r="N266" s="4">
        <v>7</v>
      </c>
      <c r="O266" s="12">
        <v>0</v>
      </c>
      <c r="P266" s="9">
        <v>40.020000000000003</v>
      </c>
      <c r="Q266" s="10">
        <f>Table1[[#This Row],[Profit]]/Table1[[#This Row],[Sales]]</f>
        <v>0.10846410277258314</v>
      </c>
      <c r="R266" t="str">
        <f>IF(Table1[[#This Row],[Profit Margin]]&gt;0,"profit","loss")</f>
        <v>profit</v>
      </c>
      <c r="S266" t="str">
        <f>IF(Table1[[#This Row],[Discount]]=0,"No Discount",IF(Table1[[#This Row],[Discount]]&lt;=0.2,"low",IF(Table1[[#This Row],[Discount]]&lt;=0.3,"medium","high")))</f>
        <v>No Discount</v>
      </c>
      <c r="T266" s="15" t="str">
        <f>IF(Table1[[#This Row],[Days]]&lt;=2,"faster",IF(Table1[[#This Row],[Days]]&lt;=4,"Normal","slow"))</f>
        <v>faster</v>
      </c>
    </row>
    <row r="267" spans="1:20" x14ac:dyDescent="0.25">
      <c r="A267" s="4" t="s">
        <v>300</v>
      </c>
      <c r="B267" s="1">
        <v>45238</v>
      </c>
      <c r="C267" s="1">
        <v>45244</v>
      </c>
      <c r="D267" s="13">
        <f>Table1[[#This Row],[Shipped date]]-Table1[[#This Row],[Order Date]]</f>
        <v>6</v>
      </c>
      <c r="E267" t="s">
        <v>19</v>
      </c>
      <c r="F267" s="13" t="str">
        <f>TEXT(Table1[[#This Row],[Order Date]],"MMMM")</f>
        <v>November</v>
      </c>
      <c r="G267" s="13">
        <f t="shared" si="8"/>
        <v>2023</v>
      </c>
      <c r="H267" s="13" t="str">
        <f t="shared" si="9"/>
        <v>Q4</v>
      </c>
      <c r="I267" s="1" t="s">
        <v>37</v>
      </c>
      <c r="J267" s="7" t="s">
        <v>21</v>
      </c>
      <c r="K267" s="7" t="s">
        <v>29</v>
      </c>
      <c r="L267" t="s">
        <v>43</v>
      </c>
      <c r="M267" s="9">
        <v>935.02</v>
      </c>
      <c r="N267" s="4">
        <v>6</v>
      </c>
      <c r="O267" s="12">
        <v>0</v>
      </c>
      <c r="P267" s="9">
        <v>80.63</v>
      </c>
      <c r="Q267" s="10">
        <f>Table1[[#This Row],[Profit]]/Table1[[#This Row],[Sales]]</f>
        <v>8.6233449551881239E-2</v>
      </c>
      <c r="R267" t="str">
        <f>IF(Table1[[#This Row],[Profit Margin]]&gt;0,"profit","loss")</f>
        <v>profit</v>
      </c>
      <c r="S267" t="str">
        <f>IF(Table1[[#This Row],[Discount]]=0,"No Discount",IF(Table1[[#This Row],[Discount]]&lt;=0.2,"low",IF(Table1[[#This Row],[Discount]]&lt;=0.3,"medium","high")))</f>
        <v>No Discount</v>
      </c>
      <c r="T267" s="15" t="str">
        <f>IF(Table1[[#This Row],[Days]]&lt;=2,"faster",IF(Table1[[#This Row],[Days]]&lt;=4,"Normal","slow"))</f>
        <v>slow</v>
      </c>
    </row>
    <row r="268" spans="1:20" x14ac:dyDescent="0.25">
      <c r="A268" s="4" t="s">
        <v>301</v>
      </c>
      <c r="B268" s="1">
        <v>45054</v>
      </c>
      <c r="C268" s="1">
        <v>45056</v>
      </c>
      <c r="D268" s="13">
        <f>Table1[[#This Row],[Shipped date]]-Table1[[#This Row],[Order Date]]</f>
        <v>2</v>
      </c>
      <c r="E268" t="s">
        <v>13</v>
      </c>
      <c r="F268" s="13" t="str">
        <f>TEXT(Table1[[#This Row],[Order Date]],"MMMM")</f>
        <v>May</v>
      </c>
      <c r="G268" s="13">
        <f t="shared" si="8"/>
        <v>2023</v>
      </c>
      <c r="H268" s="13" t="str">
        <f t="shared" si="9"/>
        <v>Q2</v>
      </c>
      <c r="I268" s="1" t="s">
        <v>14</v>
      </c>
      <c r="J268" s="7" t="s">
        <v>26</v>
      </c>
      <c r="K268" s="7" t="s">
        <v>16</v>
      </c>
      <c r="L268" t="s">
        <v>33</v>
      </c>
      <c r="M268" s="9">
        <v>169.8</v>
      </c>
      <c r="N268" s="4">
        <v>9</v>
      </c>
      <c r="O268" s="12">
        <v>0.2</v>
      </c>
      <c r="P268" s="9">
        <v>-2.83</v>
      </c>
      <c r="Q268" s="10">
        <f>Table1[[#This Row],[Profit]]/Table1[[#This Row],[Sales]]</f>
        <v>-1.6666666666666666E-2</v>
      </c>
      <c r="R268" t="str">
        <f>IF(Table1[[#This Row],[Profit Margin]]&gt;0,"profit","loss")</f>
        <v>loss</v>
      </c>
      <c r="S268" t="str">
        <f>IF(Table1[[#This Row],[Discount]]=0,"No Discount",IF(Table1[[#This Row],[Discount]]&lt;=0.2,"low",IF(Table1[[#This Row],[Discount]]&lt;=0.3,"medium","high")))</f>
        <v>low</v>
      </c>
      <c r="T268" s="15" t="str">
        <f>IF(Table1[[#This Row],[Days]]&lt;=2,"faster",IF(Table1[[#This Row],[Days]]&lt;=4,"Normal","slow"))</f>
        <v>faster</v>
      </c>
    </row>
    <row r="269" spans="1:20" x14ac:dyDescent="0.25">
      <c r="A269" s="4" t="s">
        <v>302</v>
      </c>
      <c r="B269" s="1">
        <v>45132</v>
      </c>
      <c r="C269" s="1">
        <v>45133</v>
      </c>
      <c r="D269" s="13">
        <f>Table1[[#This Row],[Shipped date]]-Table1[[#This Row],[Order Date]]</f>
        <v>1</v>
      </c>
      <c r="E269" t="s">
        <v>13</v>
      </c>
      <c r="F269" s="13" t="str">
        <f>TEXT(Table1[[#This Row],[Order Date]],"MMMM")</f>
        <v>July</v>
      </c>
      <c r="G269" s="13">
        <f t="shared" si="8"/>
        <v>2023</v>
      </c>
      <c r="H269" s="13" t="str">
        <f t="shared" si="9"/>
        <v>Q3</v>
      </c>
      <c r="I269" s="1" t="s">
        <v>14</v>
      </c>
      <c r="J269" s="7" t="s">
        <v>15</v>
      </c>
      <c r="K269" s="7" t="s">
        <v>22</v>
      </c>
      <c r="L269" t="s">
        <v>23</v>
      </c>
      <c r="M269" s="9">
        <v>853.8</v>
      </c>
      <c r="N269" s="4">
        <v>2</v>
      </c>
      <c r="O269" s="12">
        <v>0.1</v>
      </c>
      <c r="P269" s="9">
        <v>-0.04</v>
      </c>
      <c r="Q269" s="10">
        <f>Table1[[#This Row],[Profit]]/Table1[[#This Row],[Sales]]</f>
        <v>-4.6849379245724998E-5</v>
      </c>
      <c r="R269" t="str">
        <f>IF(Table1[[#This Row],[Profit Margin]]&gt;0,"profit","loss")</f>
        <v>loss</v>
      </c>
      <c r="S269" t="str">
        <f>IF(Table1[[#This Row],[Discount]]=0,"No Discount",IF(Table1[[#This Row],[Discount]]&lt;=0.2,"low",IF(Table1[[#This Row],[Discount]]&lt;=0.3,"medium","high")))</f>
        <v>low</v>
      </c>
      <c r="T269" s="15" t="str">
        <f>IF(Table1[[#This Row],[Days]]&lt;=2,"faster",IF(Table1[[#This Row],[Days]]&lt;=4,"Normal","slow"))</f>
        <v>faster</v>
      </c>
    </row>
    <row r="270" spans="1:20" x14ac:dyDescent="0.25">
      <c r="A270" s="4" t="s">
        <v>303</v>
      </c>
      <c r="B270" s="1">
        <v>44964</v>
      </c>
      <c r="C270" s="1">
        <v>44966</v>
      </c>
      <c r="D270" s="13">
        <f>Table1[[#This Row],[Shipped date]]-Table1[[#This Row],[Order Date]]</f>
        <v>2</v>
      </c>
      <c r="E270" t="s">
        <v>19</v>
      </c>
      <c r="F270" s="13" t="str">
        <f>TEXT(Table1[[#This Row],[Order Date]],"MMMM")</f>
        <v>February</v>
      </c>
      <c r="G270" s="13">
        <f t="shared" si="8"/>
        <v>2023</v>
      </c>
      <c r="H270" s="13" t="str">
        <f t="shared" si="9"/>
        <v>Q1</v>
      </c>
      <c r="I270" s="1" t="s">
        <v>37</v>
      </c>
      <c r="J270" s="7" t="s">
        <v>15</v>
      </c>
      <c r="K270" s="7" t="s">
        <v>29</v>
      </c>
      <c r="L270" t="s">
        <v>43</v>
      </c>
      <c r="M270" s="9">
        <v>189.91</v>
      </c>
      <c r="N270" s="4">
        <v>5</v>
      </c>
      <c r="O270" s="12">
        <v>0.2</v>
      </c>
      <c r="P270" s="9">
        <v>19.97</v>
      </c>
      <c r="Q270" s="10">
        <f>Table1[[#This Row],[Profit]]/Table1[[#This Row],[Sales]]</f>
        <v>0.1051550734558475</v>
      </c>
      <c r="R270" t="str">
        <f>IF(Table1[[#This Row],[Profit Margin]]&gt;0,"profit","loss")</f>
        <v>profit</v>
      </c>
      <c r="S270" t="str">
        <f>IF(Table1[[#This Row],[Discount]]=0,"No Discount",IF(Table1[[#This Row],[Discount]]&lt;=0.2,"low",IF(Table1[[#This Row],[Discount]]&lt;=0.3,"medium","high")))</f>
        <v>low</v>
      </c>
      <c r="T270" s="15" t="str">
        <f>IF(Table1[[#This Row],[Days]]&lt;=2,"faster",IF(Table1[[#This Row],[Days]]&lt;=4,"Normal","slow"))</f>
        <v>faster</v>
      </c>
    </row>
    <row r="271" spans="1:20" x14ac:dyDescent="0.25">
      <c r="A271" s="4" t="s">
        <v>304</v>
      </c>
      <c r="B271" s="1">
        <v>44999</v>
      </c>
      <c r="C271" s="1">
        <v>45001</v>
      </c>
      <c r="D271" s="13">
        <f>Table1[[#This Row],[Shipped date]]-Table1[[#This Row],[Order Date]]</f>
        <v>2</v>
      </c>
      <c r="E271" t="s">
        <v>28</v>
      </c>
      <c r="F271" s="13" t="str">
        <f>TEXT(Table1[[#This Row],[Order Date]],"MMMM")</f>
        <v>March</v>
      </c>
      <c r="G271" s="13">
        <f t="shared" si="8"/>
        <v>2023</v>
      </c>
      <c r="H271" s="13" t="str">
        <f t="shared" si="9"/>
        <v>Q1</v>
      </c>
      <c r="I271" s="1" t="s">
        <v>14</v>
      </c>
      <c r="J271" s="7" t="s">
        <v>21</v>
      </c>
      <c r="K271" s="7" t="s">
        <v>16</v>
      </c>
      <c r="L271" t="s">
        <v>17</v>
      </c>
      <c r="M271" s="9">
        <v>70.599999999999994</v>
      </c>
      <c r="N271" s="4">
        <v>8</v>
      </c>
      <c r="O271" s="12">
        <v>0.2</v>
      </c>
      <c r="P271" s="9">
        <v>1.67</v>
      </c>
      <c r="Q271" s="10">
        <f>Table1[[#This Row],[Profit]]/Table1[[#This Row],[Sales]]</f>
        <v>2.3654390934844192E-2</v>
      </c>
      <c r="R271" t="str">
        <f>IF(Table1[[#This Row],[Profit Margin]]&gt;0,"profit","loss")</f>
        <v>profit</v>
      </c>
      <c r="S271" t="str">
        <f>IF(Table1[[#This Row],[Discount]]=0,"No Discount",IF(Table1[[#This Row],[Discount]]&lt;=0.2,"low",IF(Table1[[#This Row],[Discount]]&lt;=0.3,"medium","high")))</f>
        <v>low</v>
      </c>
      <c r="T271" s="15" t="str">
        <f>IF(Table1[[#This Row],[Days]]&lt;=2,"faster",IF(Table1[[#This Row],[Days]]&lt;=4,"Normal","slow"))</f>
        <v>faster</v>
      </c>
    </row>
    <row r="272" spans="1:20" x14ac:dyDescent="0.25">
      <c r="A272" s="4" t="s">
        <v>305</v>
      </c>
      <c r="B272" s="1">
        <v>44948</v>
      </c>
      <c r="C272" s="1">
        <v>44955</v>
      </c>
      <c r="D272" s="13">
        <f>Table1[[#This Row],[Shipped date]]-Table1[[#This Row],[Order Date]]</f>
        <v>7</v>
      </c>
      <c r="E272" t="s">
        <v>25</v>
      </c>
      <c r="F272" s="13" t="str">
        <f>TEXT(Table1[[#This Row],[Order Date]],"MMMM")</f>
        <v>January</v>
      </c>
      <c r="G272" s="13">
        <f t="shared" si="8"/>
        <v>2023</v>
      </c>
      <c r="H272" s="13" t="str">
        <f t="shared" si="9"/>
        <v>Q1</v>
      </c>
      <c r="I272" s="1" t="s">
        <v>20</v>
      </c>
      <c r="J272" s="7" t="s">
        <v>32</v>
      </c>
      <c r="K272" s="7" t="s">
        <v>29</v>
      </c>
      <c r="L272" t="s">
        <v>45</v>
      </c>
      <c r="M272" s="9">
        <v>982.73</v>
      </c>
      <c r="N272" s="4">
        <v>7</v>
      </c>
      <c r="O272" s="12">
        <v>0.2</v>
      </c>
      <c r="P272" s="9">
        <v>-55.51</v>
      </c>
      <c r="Q272" s="10">
        <f>Table1[[#This Row],[Profit]]/Table1[[#This Row],[Sales]]</f>
        <v>-5.6485504665574469E-2</v>
      </c>
      <c r="R272" t="str">
        <f>IF(Table1[[#This Row],[Profit Margin]]&gt;0,"profit","loss")</f>
        <v>loss</v>
      </c>
      <c r="S272" t="str">
        <f>IF(Table1[[#This Row],[Discount]]=0,"No Discount",IF(Table1[[#This Row],[Discount]]&lt;=0.2,"low",IF(Table1[[#This Row],[Discount]]&lt;=0.3,"medium","high")))</f>
        <v>low</v>
      </c>
      <c r="T272" s="15" t="str">
        <f>IF(Table1[[#This Row],[Days]]&lt;=2,"faster",IF(Table1[[#This Row],[Days]]&lt;=4,"Normal","slow"))</f>
        <v>slow</v>
      </c>
    </row>
    <row r="273" spans="1:20" x14ac:dyDescent="0.25">
      <c r="A273" s="4" t="s">
        <v>306</v>
      </c>
      <c r="B273" s="1">
        <v>44953</v>
      </c>
      <c r="C273" s="1">
        <v>44956</v>
      </c>
      <c r="D273" s="13">
        <f>Table1[[#This Row],[Shipped date]]-Table1[[#This Row],[Order Date]]</f>
        <v>3</v>
      </c>
      <c r="E273" t="s">
        <v>28</v>
      </c>
      <c r="F273" s="13" t="str">
        <f>TEXT(Table1[[#This Row],[Order Date]],"MMMM")</f>
        <v>January</v>
      </c>
      <c r="G273" s="13">
        <f t="shared" si="8"/>
        <v>2023</v>
      </c>
      <c r="H273" s="13" t="str">
        <f t="shared" si="9"/>
        <v>Q1</v>
      </c>
      <c r="I273" s="1" t="s">
        <v>37</v>
      </c>
      <c r="J273" s="7" t="s">
        <v>21</v>
      </c>
      <c r="K273" s="7" t="s">
        <v>29</v>
      </c>
      <c r="L273" t="s">
        <v>43</v>
      </c>
      <c r="M273" s="9">
        <v>584.48</v>
      </c>
      <c r="N273" s="4">
        <v>7</v>
      </c>
      <c r="O273" s="12">
        <v>0.2</v>
      </c>
      <c r="P273" s="9">
        <v>-17.86</v>
      </c>
      <c r="Q273" s="10">
        <f>Table1[[#This Row],[Profit]]/Table1[[#This Row],[Sales]]</f>
        <v>-3.0557076375581711E-2</v>
      </c>
      <c r="R273" t="str">
        <f>IF(Table1[[#This Row],[Profit Margin]]&gt;0,"profit","loss")</f>
        <v>loss</v>
      </c>
      <c r="S273" t="str">
        <f>IF(Table1[[#This Row],[Discount]]=0,"No Discount",IF(Table1[[#This Row],[Discount]]&lt;=0.2,"low",IF(Table1[[#This Row],[Discount]]&lt;=0.3,"medium","high")))</f>
        <v>low</v>
      </c>
      <c r="T273" s="15" t="str">
        <f>IF(Table1[[#This Row],[Days]]&lt;=2,"faster",IF(Table1[[#This Row],[Days]]&lt;=4,"Normal","slow"))</f>
        <v>Normal</v>
      </c>
    </row>
    <row r="274" spans="1:20" x14ac:dyDescent="0.25">
      <c r="A274" s="4" t="s">
        <v>307</v>
      </c>
      <c r="B274" s="1">
        <v>45175</v>
      </c>
      <c r="C274" s="1">
        <v>45180</v>
      </c>
      <c r="D274" s="13">
        <f>Table1[[#This Row],[Shipped date]]-Table1[[#This Row],[Order Date]]</f>
        <v>5</v>
      </c>
      <c r="E274" t="s">
        <v>28</v>
      </c>
      <c r="F274" s="13" t="str">
        <f>TEXT(Table1[[#This Row],[Order Date]],"MMMM")</f>
        <v>September</v>
      </c>
      <c r="G274" s="13">
        <f t="shared" si="8"/>
        <v>2023</v>
      </c>
      <c r="H274" s="13" t="str">
        <f t="shared" si="9"/>
        <v>Q3</v>
      </c>
      <c r="I274" s="1" t="s">
        <v>20</v>
      </c>
      <c r="J274" s="7" t="s">
        <v>32</v>
      </c>
      <c r="K274" s="7" t="s">
        <v>22</v>
      </c>
      <c r="L274" t="s">
        <v>35</v>
      </c>
      <c r="M274" s="9">
        <v>820.73</v>
      </c>
      <c r="N274" s="4">
        <v>8</v>
      </c>
      <c r="O274" s="12">
        <v>0</v>
      </c>
      <c r="P274" s="9">
        <v>96.43</v>
      </c>
      <c r="Q274" s="10">
        <f>Table1[[#This Row],[Profit]]/Table1[[#This Row],[Sales]]</f>
        <v>0.11749296358120211</v>
      </c>
      <c r="R274" t="str">
        <f>IF(Table1[[#This Row],[Profit Margin]]&gt;0,"profit","loss")</f>
        <v>profit</v>
      </c>
      <c r="S274" t="str">
        <f>IF(Table1[[#This Row],[Discount]]=0,"No Discount",IF(Table1[[#This Row],[Discount]]&lt;=0.2,"low",IF(Table1[[#This Row],[Discount]]&lt;=0.3,"medium","high")))</f>
        <v>No Discount</v>
      </c>
      <c r="T274" s="15" t="str">
        <f>IF(Table1[[#This Row],[Days]]&lt;=2,"faster",IF(Table1[[#This Row],[Days]]&lt;=4,"Normal","slow"))</f>
        <v>slow</v>
      </c>
    </row>
    <row r="275" spans="1:20" x14ac:dyDescent="0.25">
      <c r="A275" s="4" t="s">
        <v>308</v>
      </c>
      <c r="B275" s="1">
        <v>45165</v>
      </c>
      <c r="C275" s="1">
        <v>45169</v>
      </c>
      <c r="D275" s="13">
        <f>Table1[[#This Row],[Shipped date]]-Table1[[#This Row],[Order Date]]</f>
        <v>4</v>
      </c>
      <c r="E275" t="s">
        <v>13</v>
      </c>
      <c r="F275" s="13" t="str">
        <f>TEXT(Table1[[#This Row],[Order Date]],"MMMM")</f>
        <v>August</v>
      </c>
      <c r="G275" s="13">
        <f t="shared" si="8"/>
        <v>2023</v>
      </c>
      <c r="H275" s="13" t="str">
        <f t="shared" si="9"/>
        <v>Q3</v>
      </c>
      <c r="I275" s="1" t="s">
        <v>20</v>
      </c>
      <c r="J275" s="7" t="s">
        <v>32</v>
      </c>
      <c r="K275" s="7" t="s">
        <v>22</v>
      </c>
      <c r="L275" t="s">
        <v>40</v>
      </c>
      <c r="M275" s="9">
        <v>728.44</v>
      </c>
      <c r="N275" s="4">
        <v>3</v>
      </c>
      <c r="O275" s="12">
        <v>0.1</v>
      </c>
      <c r="P275" s="9">
        <v>45.06</v>
      </c>
      <c r="Q275" s="10">
        <f>Table1[[#This Row],[Profit]]/Table1[[#This Row],[Sales]]</f>
        <v>6.1858217560814888E-2</v>
      </c>
      <c r="R275" t="str">
        <f>IF(Table1[[#This Row],[Profit Margin]]&gt;0,"profit","loss")</f>
        <v>profit</v>
      </c>
      <c r="S275" t="str">
        <f>IF(Table1[[#This Row],[Discount]]=0,"No Discount",IF(Table1[[#This Row],[Discount]]&lt;=0.2,"low",IF(Table1[[#This Row],[Discount]]&lt;=0.3,"medium","high")))</f>
        <v>low</v>
      </c>
      <c r="T275" s="15" t="str">
        <f>IF(Table1[[#This Row],[Days]]&lt;=2,"faster",IF(Table1[[#This Row],[Days]]&lt;=4,"Normal","slow"))</f>
        <v>Normal</v>
      </c>
    </row>
    <row r="276" spans="1:20" x14ac:dyDescent="0.25">
      <c r="A276" s="4" t="s">
        <v>309</v>
      </c>
      <c r="B276" s="1">
        <v>45096</v>
      </c>
      <c r="C276" s="1">
        <v>45098</v>
      </c>
      <c r="D276" s="13">
        <f>Table1[[#This Row],[Shipped date]]-Table1[[#This Row],[Order Date]]</f>
        <v>2</v>
      </c>
      <c r="E276" t="s">
        <v>19</v>
      </c>
      <c r="F276" s="13" t="str">
        <f>TEXT(Table1[[#This Row],[Order Date]],"MMMM")</f>
        <v>June</v>
      </c>
      <c r="G276" s="13">
        <f t="shared" si="8"/>
        <v>2023</v>
      </c>
      <c r="H276" s="13" t="str">
        <f t="shared" si="9"/>
        <v>Q2</v>
      </c>
      <c r="I276" s="1" t="s">
        <v>20</v>
      </c>
      <c r="J276" s="7" t="s">
        <v>32</v>
      </c>
      <c r="K276" s="7" t="s">
        <v>29</v>
      </c>
      <c r="L276" t="s">
        <v>45</v>
      </c>
      <c r="M276" s="9">
        <v>565.63</v>
      </c>
      <c r="N276" s="4">
        <v>9</v>
      </c>
      <c r="O276" s="12">
        <v>0.3</v>
      </c>
      <c r="P276" s="9">
        <v>-99.76</v>
      </c>
      <c r="Q276" s="10">
        <f>Table1[[#This Row],[Profit]]/Table1[[#This Row],[Sales]]</f>
        <v>-0.17636971164895782</v>
      </c>
      <c r="R276" t="str">
        <f>IF(Table1[[#This Row],[Profit Margin]]&gt;0,"profit","loss")</f>
        <v>loss</v>
      </c>
      <c r="S276" t="str">
        <f>IF(Table1[[#This Row],[Discount]]=0,"No Discount",IF(Table1[[#This Row],[Discount]]&lt;=0.2,"low",IF(Table1[[#This Row],[Discount]]&lt;=0.3,"medium","high")))</f>
        <v>medium</v>
      </c>
      <c r="T276" s="15" t="str">
        <f>IF(Table1[[#This Row],[Days]]&lt;=2,"faster",IF(Table1[[#This Row],[Days]]&lt;=4,"Normal","slow"))</f>
        <v>faster</v>
      </c>
    </row>
    <row r="277" spans="1:20" x14ac:dyDescent="0.25">
      <c r="A277" s="4" t="s">
        <v>310</v>
      </c>
      <c r="B277" s="1">
        <v>44956</v>
      </c>
      <c r="C277" s="1">
        <v>44962</v>
      </c>
      <c r="D277" s="13">
        <f>Table1[[#This Row],[Shipped date]]-Table1[[#This Row],[Order Date]]</f>
        <v>6</v>
      </c>
      <c r="E277" t="s">
        <v>13</v>
      </c>
      <c r="F277" s="13" t="str">
        <f>TEXT(Table1[[#This Row],[Order Date]],"MMMM")</f>
        <v>January</v>
      </c>
      <c r="G277" s="13">
        <f t="shared" si="8"/>
        <v>2023</v>
      </c>
      <c r="H277" s="13" t="str">
        <f t="shared" si="9"/>
        <v>Q1</v>
      </c>
      <c r="I277" s="1" t="s">
        <v>37</v>
      </c>
      <c r="J277" s="7" t="s">
        <v>21</v>
      </c>
      <c r="K277" s="7" t="s">
        <v>22</v>
      </c>
      <c r="L277" t="s">
        <v>23</v>
      </c>
      <c r="M277" s="9">
        <v>841.81</v>
      </c>
      <c r="N277" s="4">
        <v>1</v>
      </c>
      <c r="O277" s="12">
        <v>0</v>
      </c>
      <c r="P277" s="9">
        <v>77.27</v>
      </c>
      <c r="Q277" s="10">
        <f>Table1[[#This Row],[Profit]]/Table1[[#This Row],[Sales]]</f>
        <v>9.1790308977085094E-2</v>
      </c>
      <c r="R277" t="str">
        <f>IF(Table1[[#This Row],[Profit Margin]]&gt;0,"profit","loss")</f>
        <v>profit</v>
      </c>
      <c r="S277" t="str">
        <f>IF(Table1[[#This Row],[Discount]]=0,"No Discount",IF(Table1[[#This Row],[Discount]]&lt;=0.2,"low",IF(Table1[[#This Row],[Discount]]&lt;=0.3,"medium","high")))</f>
        <v>No Discount</v>
      </c>
      <c r="T277" s="15" t="str">
        <f>IF(Table1[[#This Row],[Days]]&lt;=2,"faster",IF(Table1[[#This Row],[Days]]&lt;=4,"Normal","slow"))</f>
        <v>slow</v>
      </c>
    </row>
    <row r="278" spans="1:20" x14ac:dyDescent="0.25">
      <c r="A278" s="4" t="s">
        <v>311</v>
      </c>
      <c r="B278" s="1">
        <v>45254</v>
      </c>
      <c r="C278" s="1">
        <v>45255</v>
      </c>
      <c r="D278" s="13">
        <f>Table1[[#This Row],[Shipped date]]-Table1[[#This Row],[Order Date]]</f>
        <v>1</v>
      </c>
      <c r="E278" t="s">
        <v>25</v>
      </c>
      <c r="F278" s="13" t="str">
        <f>TEXT(Table1[[#This Row],[Order Date]],"MMMM")</f>
        <v>November</v>
      </c>
      <c r="G278" s="13">
        <f t="shared" si="8"/>
        <v>2023</v>
      </c>
      <c r="H278" s="13" t="str">
        <f t="shared" si="9"/>
        <v>Q4</v>
      </c>
      <c r="I278" s="1" t="s">
        <v>20</v>
      </c>
      <c r="J278" s="7" t="s">
        <v>15</v>
      </c>
      <c r="K278" s="7" t="s">
        <v>22</v>
      </c>
      <c r="L278" t="s">
        <v>23</v>
      </c>
      <c r="M278" s="9">
        <v>337.21</v>
      </c>
      <c r="N278" s="4">
        <v>3</v>
      </c>
      <c r="O278" s="12">
        <v>0.2</v>
      </c>
      <c r="P278" s="9">
        <v>-39.76</v>
      </c>
      <c r="Q278" s="10">
        <f>Table1[[#This Row],[Profit]]/Table1[[#This Row],[Sales]]</f>
        <v>-0.11790872156816228</v>
      </c>
      <c r="R278" t="str">
        <f>IF(Table1[[#This Row],[Profit Margin]]&gt;0,"profit","loss")</f>
        <v>loss</v>
      </c>
      <c r="S278" t="str">
        <f>IF(Table1[[#This Row],[Discount]]=0,"No Discount",IF(Table1[[#This Row],[Discount]]&lt;=0.2,"low",IF(Table1[[#This Row],[Discount]]&lt;=0.3,"medium","high")))</f>
        <v>low</v>
      </c>
      <c r="T278" s="15" t="str">
        <f>IF(Table1[[#This Row],[Days]]&lt;=2,"faster",IF(Table1[[#This Row],[Days]]&lt;=4,"Normal","slow"))</f>
        <v>faster</v>
      </c>
    </row>
    <row r="279" spans="1:20" x14ac:dyDescent="0.25">
      <c r="A279" s="4" t="s">
        <v>312</v>
      </c>
      <c r="B279" s="1">
        <v>45173</v>
      </c>
      <c r="C279" s="1">
        <v>45177</v>
      </c>
      <c r="D279" s="13">
        <f>Table1[[#This Row],[Shipped date]]-Table1[[#This Row],[Order Date]]</f>
        <v>4</v>
      </c>
      <c r="E279" t="s">
        <v>25</v>
      </c>
      <c r="F279" s="13" t="str">
        <f>TEXT(Table1[[#This Row],[Order Date]],"MMMM")</f>
        <v>September</v>
      </c>
      <c r="G279" s="13">
        <f t="shared" si="8"/>
        <v>2023</v>
      </c>
      <c r="H279" s="13" t="str">
        <f t="shared" si="9"/>
        <v>Q3</v>
      </c>
      <c r="I279" s="1" t="s">
        <v>20</v>
      </c>
      <c r="J279" s="7" t="s">
        <v>21</v>
      </c>
      <c r="K279" s="7" t="s">
        <v>29</v>
      </c>
      <c r="L279" t="s">
        <v>43</v>
      </c>
      <c r="M279" s="9">
        <v>741.52</v>
      </c>
      <c r="N279" s="4">
        <v>9</v>
      </c>
      <c r="O279" s="12">
        <v>0.3</v>
      </c>
      <c r="P279" s="9">
        <v>-160.27000000000001</v>
      </c>
      <c r="Q279" s="10">
        <f>Table1[[#This Row],[Profit]]/Table1[[#This Row],[Sales]]</f>
        <v>-0.21613712374581942</v>
      </c>
      <c r="R279" t="str">
        <f>IF(Table1[[#This Row],[Profit Margin]]&gt;0,"profit","loss")</f>
        <v>loss</v>
      </c>
      <c r="S279" t="str">
        <f>IF(Table1[[#This Row],[Discount]]=0,"No Discount",IF(Table1[[#This Row],[Discount]]&lt;=0.2,"low",IF(Table1[[#This Row],[Discount]]&lt;=0.3,"medium","high")))</f>
        <v>medium</v>
      </c>
      <c r="T279" s="15" t="str">
        <f>IF(Table1[[#This Row],[Days]]&lt;=2,"faster",IF(Table1[[#This Row],[Days]]&lt;=4,"Normal","slow"))</f>
        <v>Normal</v>
      </c>
    </row>
    <row r="280" spans="1:20" x14ac:dyDescent="0.25">
      <c r="A280" s="4" t="s">
        <v>313</v>
      </c>
      <c r="B280" s="1">
        <v>45259</v>
      </c>
      <c r="C280" s="1">
        <v>45265</v>
      </c>
      <c r="D280" s="13">
        <f>Table1[[#This Row],[Shipped date]]-Table1[[#This Row],[Order Date]]</f>
        <v>6</v>
      </c>
      <c r="E280" t="s">
        <v>25</v>
      </c>
      <c r="F280" s="13" t="str">
        <f>TEXT(Table1[[#This Row],[Order Date]],"MMMM")</f>
        <v>November</v>
      </c>
      <c r="G280" s="13">
        <f t="shared" si="8"/>
        <v>2023</v>
      </c>
      <c r="H280" s="13" t="str">
        <f t="shared" si="9"/>
        <v>Q4</v>
      </c>
      <c r="I280" s="1" t="s">
        <v>14</v>
      </c>
      <c r="J280" s="7" t="s">
        <v>15</v>
      </c>
      <c r="K280" s="7" t="s">
        <v>16</v>
      </c>
      <c r="L280" t="s">
        <v>38</v>
      </c>
      <c r="M280" s="9">
        <v>618.41</v>
      </c>
      <c r="N280" s="4">
        <v>2</v>
      </c>
      <c r="O280" s="12">
        <v>0.3</v>
      </c>
      <c r="P280" s="9">
        <v>-137.57</v>
      </c>
      <c r="Q280" s="10">
        <f>Table1[[#This Row],[Profit]]/Table1[[#This Row],[Sales]]</f>
        <v>-0.22245759285910641</v>
      </c>
      <c r="R280" t="str">
        <f>IF(Table1[[#This Row],[Profit Margin]]&gt;0,"profit","loss")</f>
        <v>loss</v>
      </c>
      <c r="S280" t="str">
        <f>IF(Table1[[#This Row],[Discount]]=0,"No Discount",IF(Table1[[#This Row],[Discount]]&lt;=0.2,"low",IF(Table1[[#This Row],[Discount]]&lt;=0.3,"medium","high")))</f>
        <v>medium</v>
      </c>
      <c r="T280" s="15" t="str">
        <f>IF(Table1[[#This Row],[Days]]&lt;=2,"faster",IF(Table1[[#This Row],[Days]]&lt;=4,"Normal","slow"))</f>
        <v>slow</v>
      </c>
    </row>
    <row r="281" spans="1:20" x14ac:dyDescent="0.25">
      <c r="A281" s="4" t="s">
        <v>314</v>
      </c>
      <c r="B281" s="1">
        <v>45245</v>
      </c>
      <c r="C281" s="1">
        <v>45248</v>
      </c>
      <c r="D281" s="13">
        <f>Table1[[#This Row],[Shipped date]]-Table1[[#This Row],[Order Date]]</f>
        <v>3</v>
      </c>
      <c r="E281" t="s">
        <v>13</v>
      </c>
      <c r="F281" s="13" t="str">
        <f>TEXT(Table1[[#This Row],[Order Date]],"MMMM")</f>
        <v>November</v>
      </c>
      <c r="G281" s="13">
        <f t="shared" si="8"/>
        <v>2023</v>
      </c>
      <c r="H281" s="13" t="str">
        <f t="shared" si="9"/>
        <v>Q4</v>
      </c>
      <c r="I281" s="1" t="s">
        <v>37</v>
      </c>
      <c r="J281" s="7" t="s">
        <v>21</v>
      </c>
      <c r="K281" s="7" t="s">
        <v>22</v>
      </c>
      <c r="L281" t="s">
        <v>23</v>
      </c>
      <c r="M281" s="9">
        <v>515.98</v>
      </c>
      <c r="N281" s="4">
        <v>9</v>
      </c>
      <c r="O281" s="12">
        <v>0.2</v>
      </c>
      <c r="P281" s="9">
        <v>-37.92</v>
      </c>
      <c r="Q281" s="10">
        <f>Table1[[#This Row],[Profit]]/Table1[[#This Row],[Sales]]</f>
        <v>-7.3491220589945352E-2</v>
      </c>
      <c r="R281" t="str">
        <f>IF(Table1[[#This Row],[Profit Margin]]&gt;0,"profit","loss")</f>
        <v>loss</v>
      </c>
      <c r="S281" t="str">
        <f>IF(Table1[[#This Row],[Discount]]=0,"No Discount",IF(Table1[[#This Row],[Discount]]&lt;=0.2,"low",IF(Table1[[#This Row],[Discount]]&lt;=0.3,"medium","high")))</f>
        <v>low</v>
      </c>
      <c r="T281" s="15" t="str">
        <f>IF(Table1[[#This Row],[Days]]&lt;=2,"faster",IF(Table1[[#This Row],[Days]]&lt;=4,"Normal","slow"))</f>
        <v>Normal</v>
      </c>
    </row>
    <row r="282" spans="1:20" x14ac:dyDescent="0.25">
      <c r="A282" s="4" t="s">
        <v>315</v>
      </c>
      <c r="B282" s="1">
        <v>45252</v>
      </c>
      <c r="C282" s="1">
        <v>45254</v>
      </c>
      <c r="D282" s="13">
        <f>Table1[[#This Row],[Shipped date]]-Table1[[#This Row],[Order Date]]</f>
        <v>2</v>
      </c>
      <c r="E282" t="s">
        <v>13</v>
      </c>
      <c r="F282" s="13" t="str">
        <f>TEXT(Table1[[#This Row],[Order Date]],"MMMM")</f>
        <v>November</v>
      </c>
      <c r="G282" s="13">
        <f t="shared" si="8"/>
        <v>2023</v>
      </c>
      <c r="H282" s="13" t="str">
        <f t="shared" si="9"/>
        <v>Q4</v>
      </c>
      <c r="I282" s="1" t="s">
        <v>20</v>
      </c>
      <c r="J282" s="7" t="s">
        <v>21</v>
      </c>
      <c r="K282" s="7" t="s">
        <v>29</v>
      </c>
      <c r="L282" t="s">
        <v>45</v>
      </c>
      <c r="M282" s="9">
        <v>541.94000000000005</v>
      </c>
      <c r="N282" s="4">
        <v>9</v>
      </c>
      <c r="O282" s="12">
        <v>0</v>
      </c>
      <c r="P282" s="9">
        <v>60.04</v>
      </c>
      <c r="Q282" s="10">
        <f>Table1[[#This Row],[Profit]]/Table1[[#This Row],[Sales]]</f>
        <v>0.1107871720116618</v>
      </c>
      <c r="R282" t="str">
        <f>IF(Table1[[#This Row],[Profit Margin]]&gt;0,"profit","loss")</f>
        <v>profit</v>
      </c>
      <c r="S282" t="str">
        <f>IF(Table1[[#This Row],[Discount]]=0,"No Discount",IF(Table1[[#This Row],[Discount]]&lt;=0.2,"low",IF(Table1[[#This Row],[Discount]]&lt;=0.3,"medium","high")))</f>
        <v>No Discount</v>
      </c>
      <c r="T282" s="15" t="str">
        <f>IF(Table1[[#This Row],[Days]]&lt;=2,"faster",IF(Table1[[#This Row],[Days]]&lt;=4,"Normal","slow"))</f>
        <v>faster</v>
      </c>
    </row>
    <row r="283" spans="1:20" x14ac:dyDescent="0.25">
      <c r="A283" s="4" t="s">
        <v>316</v>
      </c>
      <c r="B283" s="1">
        <v>45119</v>
      </c>
      <c r="C283" s="1">
        <v>45126</v>
      </c>
      <c r="D283" s="13">
        <f>Table1[[#This Row],[Shipped date]]-Table1[[#This Row],[Order Date]]</f>
        <v>7</v>
      </c>
      <c r="E283" t="s">
        <v>13</v>
      </c>
      <c r="F283" s="13" t="str">
        <f>TEXT(Table1[[#This Row],[Order Date]],"MMMM")</f>
        <v>July</v>
      </c>
      <c r="G283" s="13">
        <f t="shared" si="8"/>
        <v>2023</v>
      </c>
      <c r="H283" s="13" t="str">
        <f t="shared" si="9"/>
        <v>Q3</v>
      </c>
      <c r="I283" s="1" t="s">
        <v>20</v>
      </c>
      <c r="J283" s="7" t="s">
        <v>21</v>
      </c>
      <c r="K283" s="7" t="s">
        <v>29</v>
      </c>
      <c r="L283" t="s">
        <v>30</v>
      </c>
      <c r="M283" s="9">
        <v>465.18</v>
      </c>
      <c r="N283" s="4">
        <v>7</v>
      </c>
      <c r="O283" s="12">
        <v>0</v>
      </c>
      <c r="P283" s="9">
        <v>30.95</v>
      </c>
      <c r="Q283" s="10">
        <f>Table1[[#This Row],[Profit]]/Table1[[#This Row],[Sales]]</f>
        <v>6.6533384926265093E-2</v>
      </c>
      <c r="R283" t="str">
        <f>IF(Table1[[#This Row],[Profit Margin]]&gt;0,"profit","loss")</f>
        <v>profit</v>
      </c>
      <c r="S283" t="str">
        <f>IF(Table1[[#This Row],[Discount]]=0,"No Discount",IF(Table1[[#This Row],[Discount]]&lt;=0.2,"low",IF(Table1[[#This Row],[Discount]]&lt;=0.3,"medium","high")))</f>
        <v>No Discount</v>
      </c>
      <c r="T283" s="15" t="str">
        <f>IF(Table1[[#This Row],[Days]]&lt;=2,"faster",IF(Table1[[#This Row],[Days]]&lt;=4,"Normal","slow"))</f>
        <v>slow</v>
      </c>
    </row>
    <row r="284" spans="1:20" x14ac:dyDescent="0.25">
      <c r="A284" s="4" t="s">
        <v>317</v>
      </c>
      <c r="B284" s="1">
        <v>45248</v>
      </c>
      <c r="C284" s="1">
        <v>45254</v>
      </c>
      <c r="D284" s="13">
        <f>Table1[[#This Row],[Shipped date]]-Table1[[#This Row],[Order Date]]</f>
        <v>6</v>
      </c>
      <c r="E284" t="s">
        <v>19</v>
      </c>
      <c r="F284" s="13" t="str">
        <f>TEXT(Table1[[#This Row],[Order Date]],"MMMM")</f>
        <v>November</v>
      </c>
      <c r="G284" s="13">
        <f t="shared" si="8"/>
        <v>2023</v>
      </c>
      <c r="H284" s="13" t="str">
        <f t="shared" si="9"/>
        <v>Q4</v>
      </c>
      <c r="I284" s="1" t="s">
        <v>14</v>
      </c>
      <c r="J284" s="7" t="s">
        <v>32</v>
      </c>
      <c r="K284" s="7" t="s">
        <v>22</v>
      </c>
      <c r="L284" t="s">
        <v>40</v>
      </c>
      <c r="M284" s="9">
        <v>990.16</v>
      </c>
      <c r="N284" s="4">
        <v>9</v>
      </c>
      <c r="O284" s="12">
        <v>0</v>
      </c>
      <c r="P284" s="9">
        <v>126.94</v>
      </c>
      <c r="Q284" s="10">
        <f>Table1[[#This Row],[Profit]]/Table1[[#This Row],[Sales]]</f>
        <v>0.12820150278742828</v>
      </c>
      <c r="R284" t="str">
        <f>IF(Table1[[#This Row],[Profit Margin]]&gt;0,"profit","loss")</f>
        <v>profit</v>
      </c>
      <c r="S284" t="str">
        <f>IF(Table1[[#This Row],[Discount]]=0,"No Discount",IF(Table1[[#This Row],[Discount]]&lt;=0.2,"low",IF(Table1[[#This Row],[Discount]]&lt;=0.3,"medium","high")))</f>
        <v>No Discount</v>
      </c>
      <c r="T284" s="15" t="str">
        <f>IF(Table1[[#This Row],[Days]]&lt;=2,"faster",IF(Table1[[#This Row],[Days]]&lt;=4,"Normal","slow"))</f>
        <v>slow</v>
      </c>
    </row>
    <row r="285" spans="1:20" x14ac:dyDescent="0.25">
      <c r="A285" s="4" t="s">
        <v>318</v>
      </c>
      <c r="B285" s="1">
        <v>44989</v>
      </c>
      <c r="C285" s="1">
        <v>44994</v>
      </c>
      <c r="D285" s="13">
        <f>Table1[[#This Row],[Shipped date]]-Table1[[#This Row],[Order Date]]</f>
        <v>5</v>
      </c>
      <c r="E285" t="s">
        <v>19</v>
      </c>
      <c r="F285" s="13" t="str">
        <f>TEXT(Table1[[#This Row],[Order Date]],"MMMM")</f>
        <v>March</v>
      </c>
      <c r="G285" s="13">
        <f t="shared" si="8"/>
        <v>2023</v>
      </c>
      <c r="H285" s="13" t="str">
        <f t="shared" si="9"/>
        <v>Q1</v>
      </c>
      <c r="I285" s="1" t="s">
        <v>37</v>
      </c>
      <c r="J285" s="7" t="s">
        <v>15</v>
      </c>
      <c r="K285" s="7" t="s">
        <v>22</v>
      </c>
      <c r="L285" t="s">
        <v>35</v>
      </c>
      <c r="M285" s="9">
        <v>106.11</v>
      </c>
      <c r="N285" s="4">
        <v>6</v>
      </c>
      <c r="O285" s="12">
        <v>0.2</v>
      </c>
      <c r="P285" s="9">
        <v>17.09</v>
      </c>
      <c r="Q285" s="10">
        <f>Table1[[#This Row],[Profit]]/Table1[[#This Row],[Sales]]</f>
        <v>0.16105927810762416</v>
      </c>
      <c r="R285" t="str">
        <f>IF(Table1[[#This Row],[Profit Margin]]&gt;0,"profit","loss")</f>
        <v>profit</v>
      </c>
      <c r="S285" t="str">
        <f>IF(Table1[[#This Row],[Discount]]=0,"No Discount",IF(Table1[[#This Row],[Discount]]&lt;=0.2,"low",IF(Table1[[#This Row],[Discount]]&lt;=0.3,"medium","high")))</f>
        <v>low</v>
      </c>
      <c r="T285" s="15" t="str">
        <f>IF(Table1[[#This Row],[Days]]&lt;=2,"faster",IF(Table1[[#This Row],[Days]]&lt;=4,"Normal","slow"))</f>
        <v>slow</v>
      </c>
    </row>
    <row r="286" spans="1:20" x14ac:dyDescent="0.25">
      <c r="A286" s="4" t="s">
        <v>319</v>
      </c>
      <c r="B286" s="1">
        <v>45085</v>
      </c>
      <c r="C286" s="1">
        <v>45091</v>
      </c>
      <c r="D286" s="13">
        <f>Table1[[#This Row],[Shipped date]]-Table1[[#This Row],[Order Date]]</f>
        <v>6</v>
      </c>
      <c r="E286" t="s">
        <v>13</v>
      </c>
      <c r="F286" s="13" t="str">
        <f>TEXT(Table1[[#This Row],[Order Date]],"MMMM")</f>
        <v>June</v>
      </c>
      <c r="G286" s="13">
        <f t="shared" si="8"/>
        <v>2023</v>
      </c>
      <c r="H286" s="13" t="str">
        <f t="shared" si="9"/>
        <v>Q2</v>
      </c>
      <c r="I286" s="1" t="s">
        <v>14</v>
      </c>
      <c r="J286" s="7" t="s">
        <v>21</v>
      </c>
      <c r="K286" s="7" t="s">
        <v>16</v>
      </c>
      <c r="L286" t="s">
        <v>17</v>
      </c>
      <c r="M286" s="9">
        <v>765.02</v>
      </c>
      <c r="N286" s="4">
        <v>7</v>
      </c>
      <c r="O286" s="12">
        <v>0.2</v>
      </c>
      <c r="P286" s="9">
        <v>-63.38</v>
      </c>
      <c r="Q286" s="10">
        <f>Table1[[#This Row],[Profit]]/Table1[[#This Row],[Sales]]</f>
        <v>-8.2847507254712294E-2</v>
      </c>
      <c r="R286" t="str">
        <f>IF(Table1[[#This Row],[Profit Margin]]&gt;0,"profit","loss")</f>
        <v>loss</v>
      </c>
      <c r="S286" t="str">
        <f>IF(Table1[[#This Row],[Discount]]=0,"No Discount",IF(Table1[[#This Row],[Discount]]&lt;=0.2,"low",IF(Table1[[#This Row],[Discount]]&lt;=0.3,"medium","high")))</f>
        <v>low</v>
      </c>
      <c r="T286" s="15" t="str">
        <f>IF(Table1[[#This Row],[Days]]&lt;=2,"faster",IF(Table1[[#This Row],[Days]]&lt;=4,"Normal","slow"))</f>
        <v>slow</v>
      </c>
    </row>
    <row r="287" spans="1:20" x14ac:dyDescent="0.25">
      <c r="A287" s="4" t="s">
        <v>320</v>
      </c>
      <c r="B287" s="1">
        <v>45122</v>
      </c>
      <c r="C287" s="1">
        <v>45127</v>
      </c>
      <c r="D287" s="13">
        <f>Table1[[#This Row],[Shipped date]]-Table1[[#This Row],[Order Date]]</f>
        <v>5</v>
      </c>
      <c r="E287" t="s">
        <v>25</v>
      </c>
      <c r="F287" s="13" t="str">
        <f>TEXT(Table1[[#This Row],[Order Date]],"MMMM")</f>
        <v>July</v>
      </c>
      <c r="G287" s="13">
        <f t="shared" si="8"/>
        <v>2023</v>
      </c>
      <c r="H287" s="13" t="str">
        <f t="shared" si="9"/>
        <v>Q3</v>
      </c>
      <c r="I287" s="1" t="s">
        <v>37</v>
      </c>
      <c r="J287" s="7" t="s">
        <v>15</v>
      </c>
      <c r="K287" s="7" t="s">
        <v>22</v>
      </c>
      <c r="L287" t="s">
        <v>23</v>
      </c>
      <c r="M287" s="9">
        <v>613.98</v>
      </c>
      <c r="N287" s="4">
        <v>3</v>
      </c>
      <c r="O287" s="12">
        <v>0.2</v>
      </c>
      <c r="P287" s="9">
        <v>-56.98</v>
      </c>
      <c r="Q287" s="10">
        <f>Table1[[#This Row],[Profit]]/Table1[[#This Row],[Sales]]</f>
        <v>-9.280432587380695E-2</v>
      </c>
      <c r="R287" t="str">
        <f>IF(Table1[[#This Row],[Profit Margin]]&gt;0,"profit","loss")</f>
        <v>loss</v>
      </c>
      <c r="S287" t="str">
        <f>IF(Table1[[#This Row],[Discount]]=0,"No Discount",IF(Table1[[#This Row],[Discount]]&lt;=0.2,"low",IF(Table1[[#This Row],[Discount]]&lt;=0.3,"medium","high")))</f>
        <v>low</v>
      </c>
      <c r="T287" s="15" t="str">
        <f>IF(Table1[[#This Row],[Days]]&lt;=2,"faster",IF(Table1[[#This Row],[Days]]&lt;=4,"Normal","slow"))</f>
        <v>slow</v>
      </c>
    </row>
    <row r="288" spans="1:20" x14ac:dyDescent="0.25">
      <c r="A288" s="4" t="s">
        <v>321</v>
      </c>
      <c r="B288" s="1">
        <v>45019</v>
      </c>
      <c r="C288" s="1">
        <v>45026</v>
      </c>
      <c r="D288" s="13">
        <f>Table1[[#This Row],[Shipped date]]-Table1[[#This Row],[Order Date]]</f>
        <v>7</v>
      </c>
      <c r="E288" t="s">
        <v>19</v>
      </c>
      <c r="F288" s="13" t="str">
        <f>TEXT(Table1[[#This Row],[Order Date]],"MMMM")</f>
        <v>April</v>
      </c>
      <c r="G288" s="13">
        <f t="shared" si="8"/>
        <v>2023</v>
      </c>
      <c r="H288" s="13" t="str">
        <f t="shared" si="9"/>
        <v>Q2</v>
      </c>
      <c r="I288" s="1" t="s">
        <v>37</v>
      </c>
      <c r="J288" s="7" t="s">
        <v>15</v>
      </c>
      <c r="K288" s="7" t="s">
        <v>16</v>
      </c>
      <c r="L288" t="s">
        <v>17</v>
      </c>
      <c r="M288" s="9">
        <v>930.94</v>
      </c>
      <c r="N288" s="4">
        <v>7</v>
      </c>
      <c r="O288" s="12">
        <v>0.1</v>
      </c>
      <c r="P288" s="9">
        <v>32.22</v>
      </c>
      <c r="Q288" s="10">
        <f>Table1[[#This Row],[Profit]]/Table1[[#This Row],[Sales]]</f>
        <v>3.4610178958901755E-2</v>
      </c>
      <c r="R288" t="str">
        <f>IF(Table1[[#This Row],[Profit Margin]]&gt;0,"profit","loss")</f>
        <v>profit</v>
      </c>
      <c r="S288" t="str">
        <f>IF(Table1[[#This Row],[Discount]]=0,"No Discount",IF(Table1[[#This Row],[Discount]]&lt;=0.2,"low",IF(Table1[[#This Row],[Discount]]&lt;=0.3,"medium","high")))</f>
        <v>low</v>
      </c>
      <c r="T288" s="15" t="str">
        <f>IF(Table1[[#This Row],[Days]]&lt;=2,"faster",IF(Table1[[#This Row],[Days]]&lt;=4,"Normal","slow"))</f>
        <v>slow</v>
      </c>
    </row>
    <row r="289" spans="1:20" x14ac:dyDescent="0.25">
      <c r="A289" s="4" t="s">
        <v>322</v>
      </c>
      <c r="B289" s="1">
        <v>45066</v>
      </c>
      <c r="C289" s="1">
        <v>45068</v>
      </c>
      <c r="D289" s="13">
        <f>Table1[[#This Row],[Shipped date]]-Table1[[#This Row],[Order Date]]</f>
        <v>2</v>
      </c>
      <c r="E289" t="s">
        <v>13</v>
      </c>
      <c r="F289" s="13" t="str">
        <f>TEXT(Table1[[#This Row],[Order Date]],"MMMM")</f>
        <v>May</v>
      </c>
      <c r="G289" s="13">
        <f t="shared" si="8"/>
        <v>2023</v>
      </c>
      <c r="H289" s="13" t="str">
        <f t="shared" si="9"/>
        <v>Q2</v>
      </c>
      <c r="I289" s="1" t="s">
        <v>14</v>
      </c>
      <c r="J289" s="7" t="s">
        <v>15</v>
      </c>
      <c r="K289" s="7" t="s">
        <v>16</v>
      </c>
      <c r="L289" t="s">
        <v>38</v>
      </c>
      <c r="M289" s="9">
        <v>420.35</v>
      </c>
      <c r="N289" s="4">
        <v>10</v>
      </c>
      <c r="O289" s="12">
        <v>0</v>
      </c>
      <c r="P289" s="9">
        <v>73.2</v>
      </c>
      <c r="Q289" s="10">
        <f>Table1[[#This Row],[Profit]]/Table1[[#This Row],[Sales]]</f>
        <v>0.17414059712144642</v>
      </c>
      <c r="R289" t="str">
        <f>IF(Table1[[#This Row],[Profit Margin]]&gt;0,"profit","loss")</f>
        <v>profit</v>
      </c>
      <c r="S289" t="str">
        <f>IF(Table1[[#This Row],[Discount]]=0,"No Discount",IF(Table1[[#This Row],[Discount]]&lt;=0.2,"low",IF(Table1[[#This Row],[Discount]]&lt;=0.3,"medium","high")))</f>
        <v>No Discount</v>
      </c>
      <c r="T289" s="15" t="str">
        <f>IF(Table1[[#This Row],[Days]]&lt;=2,"faster",IF(Table1[[#This Row],[Days]]&lt;=4,"Normal","slow"))</f>
        <v>faster</v>
      </c>
    </row>
    <row r="290" spans="1:20" x14ac:dyDescent="0.25">
      <c r="A290" s="4" t="s">
        <v>323</v>
      </c>
      <c r="B290" s="1">
        <v>45200</v>
      </c>
      <c r="C290" s="1">
        <v>45207</v>
      </c>
      <c r="D290" s="13">
        <f>Table1[[#This Row],[Shipped date]]-Table1[[#This Row],[Order Date]]</f>
        <v>7</v>
      </c>
      <c r="E290" t="s">
        <v>19</v>
      </c>
      <c r="F290" s="13" t="str">
        <f>TEXT(Table1[[#This Row],[Order Date]],"MMMM")</f>
        <v>October</v>
      </c>
      <c r="G290" s="13">
        <f t="shared" si="8"/>
        <v>2023</v>
      </c>
      <c r="H290" s="13" t="str">
        <f t="shared" si="9"/>
        <v>Q4</v>
      </c>
      <c r="I290" s="1" t="s">
        <v>37</v>
      </c>
      <c r="J290" s="7" t="s">
        <v>32</v>
      </c>
      <c r="K290" s="7" t="s">
        <v>22</v>
      </c>
      <c r="L290" t="s">
        <v>40</v>
      </c>
      <c r="M290" s="9">
        <v>939.57</v>
      </c>
      <c r="N290" s="4">
        <v>9</v>
      </c>
      <c r="O290" s="12">
        <v>0.3</v>
      </c>
      <c r="P290" s="9">
        <v>-181.37</v>
      </c>
      <c r="Q290" s="10">
        <f>Table1[[#This Row],[Profit]]/Table1[[#This Row],[Sales]]</f>
        <v>-0.19303511180646465</v>
      </c>
      <c r="R290" t="str">
        <f>IF(Table1[[#This Row],[Profit Margin]]&gt;0,"profit","loss")</f>
        <v>loss</v>
      </c>
      <c r="S290" t="str">
        <f>IF(Table1[[#This Row],[Discount]]=0,"No Discount",IF(Table1[[#This Row],[Discount]]&lt;=0.2,"low",IF(Table1[[#This Row],[Discount]]&lt;=0.3,"medium","high")))</f>
        <v>medium</v>
      </c>
      <c r="T290" s="15" t="str">
        <f>IF(Table1[[#This Row],[Days]]&lt;=2,"faster",IF(Table1[[#This Row],[Days]]&lt;=4,"Normal","slow"))</f>
        <v>slow</v>
      </c>
    </row>
    <row r="291" spans="1:20" x14ac:dyDescent="0.25">
      <c r="A291" s="4" t="s">
        <v>324</v>
      </c>
      <c r="B291" s="1">
        <v>45272</v>
      </c>
      <c r="C291" s="1">
        <v>45277</v>
      </c>
      <c r="D291" s="13">
        <f>Table1[[#This Row],[Shipped date]]-Table1[[#This Row],[Order Date]]</f>
        <v>5</v>
      </c>
      <c r="E291" t="s">
        <v>13</v>
      </c>
      <c r="F291" s="13" t="str">
        <f>TEXT(Table1[[#This Row],[Order Date]],"MMMM")</f>
        <v>December</v>
      </c>
      <c r="G291" s="13">
        <f t="shared" si="8"/>
        <v>2023</v>
      </c>
      <c r="H291" s="13" t="str">
        <f t="shared" si="9"/>
        <v>Q4</v>
      </c>
      <c r="I291" s="1" t="s">
        <v>14</v>
      </c>
      <c r="J291" s="7" t="s">
        <v>15</v>
      </c>
      <c r="K291" s="7" t="s">
        <v>16</v>
      </c>
      <c r="L291" t="s">
        <v>38</v>
      </c>
      <c r="M291" s="9">
        <v>927.92</v>
      </c>
      <c r="N291" s="4">
        <v>5</v>
      </c>
      <c r="O291" s="12">
        <v>0.3</v>
      </c>
      <c r="P291" s="9">
        <v>-165.37</v>
      </c>
      <c r="Q291" s="10">
        <f>Table1[[#This Row],[Profit]]/Table1[[#This Row],[Sales]]</f>
        <v>-0.1782157944650401</v>
      </c>
      <c r="R291" t="str">
        <f>IF(Table1[[#This Row],[Profit Margin]]&gt;0,"profit","loss")</f>
        <v>loss</v>
      </c>
      <c r="S291" t="str">
        <f>IF(Table1[[#This Row],[Discount]]=0,"No Discount",IF(Table1[[#This Row],[Discount]]&lt;=0.2,"low",IF(Table1[[#This Row],[Discount]]&lt;=0.3,"medium","high")))</f>
        <v>medium</v>
      </c>
      <c r="T291" s="15" t="str">
        <f>IF(Table1[[#This Row],[Days]]&lt;=2,"faster",IF(Table1[[#This Row],[Days]]&lt;=4,"Normal","slow"))</f>
        <v>slow</v>
      </c>
    </row>
    <row r="292" spans="1:20" x14ac:dyDescent="0.25">
      <c r="A292" s="4" t="s">
        <v>325</v>
      </c>
      <c r="B292" s="1">
        <v>44930</v>
      </c>
      <c r="C292" s="1">
        <v>44934</v>
      </c>
      <c r="D292" s="13">
        <f>Table1[[#This Row],[Shipped date]]-Table1[[#This Row],[Order Date]]</f>
        <v>4</v>
      </c>
      <c r="E292" t="s">
        <v>25</v>
      </c>
      <c r="F292" s="13" t="str">
        <f>TEXT(Table1[[#This Row],[Order Date]],"MMMM")</f>
        <v>January</v>
      </c>
      <c r="G292" s="13">
        <f t="shared" si="8"/>
        <v>2023</v>
      </c>
      <c r="H292" s="13" t="str">
        <f t="shared" si="9"/>
        <v>Q1</v>
      </c>
      <c r="I292" s="1" t="s">
        <v>14</v>
      </c>
      <c r="J292" s="7" t="s">
        <v>26</v>
      </c>
      <c r="K292" s="7" t="s">
        <v>29</v>
      </c>
      <c r="L292" t="s">
        <v>43</v>
      </c>
      <c r="M292" s="9">
        <v>844.99</v>
      </c>
      <c r="N292" s="4">
        <v>3</v>
      </c>
      <c r="O292" s="12">
        <v>0.3</v>
      </c>
      <c r="P292" s="9">
        <v>-131.04</v>
      </c>
      <c r="Q292" s="10">
        <f>Table1[[#This Row],[Profit]]/Table1[[#This Row],[Sales]]</f>
        <v>-0.1550787583285009</v>
      </c>
      <c r="R292" t="str">
        <f>IF(Table1[[#This Row],[Profit Margin]]&gt;0,"profit","loss")</f>
        <v>loss</v>
      </c>
      <c r="S292" t="str">
        <f>IF(Table1[[#This Row],[Discount]]=0,"No Discount",IF(Table1[[#This Row],[Discount]]&lt;=0.2,"low",IF(Table1[[#This Row],[Discount]]&lt;=0.3,"medium","high")))</f>
        <v>medium</v>
      </c>
      <c r="T292" s="15" t="str">
        <f>IF(Table1[[#This Row],[Days]]&lt;=2,"faster",IF(Table1[[#This Row],[Days]]&lt;=4,"Normal","slow"))</f>
        <v>Normal</v>
      </c>
    </row>
    <row r="293" spans="1:20" x14ac:dyDescent="0.25">
      <c r="A293" s="4" t="s">
        <v>326</v>
      </c>
      <c r="B293" s="1">
        <v>45232</v>
      </c>
      <c r="C293" s="1">
        <v>45239</v>
      </c>
      <c r="D293" s="13">
        <f>Table1[[#This Row],[Shipped date]]-Table1[[#This Row],[Order Date]]</f>
        <v>7</v>
      </c>
      <c r="E293" t="s">
        <v>28</v>
      </c>
      <c r="F293" s="13" t="str">
        <f>TEXT(Table1[[#This Row],[Order Date]],"MMMM")</f>
        <v>November</v>
      </c>
      <c r="G293" s="13">
        <f t="shared" si="8"/>
        <v>2023</v>
      </c>
      <c r="H293" s="13" t="str">
        <f t="shared" si="9"/>
        <v>Q4</v>
      </c>
      <c r="I293" s="1" t="s">
        <v>20</v>
      </c>
      <c r="J293" s="7" t="s">
        <v>15</v>
      </c>
      <c r="K293" s="7" t="s">
        <v>29</v>
      </c>
      <c r="L293" t="s">
        <v>45</v>
      </c>
      <c r="M293" s="9">
        <v>755.49</v>
      </c>
      <c r="N293" s="4">
        <v>7</v>
      </c>
      <c r="O293" s="12">
        <v>0.3</v>
      </c>
      <c r="P293" s="9">
        <v>-159.63999999999999</v>
      </c>
      <c r="Q293" s="10">
        <f>Table1[[#This Row],[Profit]]/Table1[[#This Row],[Sales]]</f>
        <v>-0.21130656924644931</v>
      </c>
      <c r="R293" t="str">
        <f>IF(Table1[[#This Row],[Profit Margin]]&gt;0,"profit","loss")</f>
        <v>loss</v>
      </c>
      <c r="S293" t="str">
        <f>IF(Table1[[#This Row],[Discount]]=0,"No Discount",IF(Table1[[#This Row],[Discount]]&lt;=0.2,"low",IF(Table1[[#This Row],[Discount]]&lt;=0.3,"medium","high")))</f>
        <v>medium</v>
      </c>
      <c r="T293" s="15" t="str">
        <f>IF(Table1[[#This Row],[Days]]&lt;=2,"faster",IF(Table1[[#This Row],[Days]]&lt;=4,"Normal","slow"))</f>
        <v>slow</v>
      </c>
    </row>
    <row r="294" spans="1:20" x14ac:dyDescent="0.25">
      <c r="A294" s="4" t="s">
        <v>327</v>
      </c>
      <c r="B294" s="1">
        <v>44951</v>
      </c>
      <c r="C294" s="1">
        <v>44954</v>
      </c>
      <c r="D294" s="13">
        <f>Table1[[#This Row],[Shipped date]]-Table1[[#This Row],[Order Date]]</f>
        <v>3</v>
      </c>
      <c r="E294" t="s">
        <v>28</v>
      </c>
      <c r="F294" s="13" t="str">
        <f>TEXT(Table1[[#This Row],[Order Date]],"MMMM")</f>
        <v>January</v>
      </c>
      <c r="G294" s="13">
        <f t="shared" si="8"/>
        <v>2023</v>
      </c>
      <c r="H294" s="13" t="str">
        <f t="shared" si="9"/>
        <v>Q1</v>
      </c>
      <c r="I294" s="1" t="s">
        <v>37</v>
      </c>
      <c r="J294" s="7" t="s">
        <v>21</v>
      </c>
      <c r="K294" s="7" t="s">
        <v>29</v>
      </c>
      <c r="L294" t="s">
        <v>30</v>
      </c>
      <c r="M294" s="9">
        <v>180.98</v>
      </c>
      <c r="N294" s="4">
        <v>2</v>
      </c>
      <c r="O294" s="12">
        <v>0</v>
      </c>
      <c r="P294" s="9">
        <v>14.6</v>
      </c>
      <c r="Q294" s="10">
        <f>Table1[[#This Row],[Profit]]/Table1[[#This Row],[Sales]]</f>
        <v>8.0671897447231744E-2</v>
      </c>
      <c r="R294" t="str">
        <f>IF(Table1[[#This Row],[Profit Margin]]&gt;0,"profit","loss")</f>
        <v>profit</v>
      </c>
      <c r="S294" t="str">
        <f>IF(Table1[[#This Row],[Discount]]=0,"No Discount",IF(Table1[[#This Row],[Discount]]&lt;=0.2,"low",IF(Table1[[#This Row],[Discount]]&lt;=0.3,"medium","high")))</f>
        <v>No Discount</v>
      </c>
      <c r="T294" s="15" t="str">
        <f>IF(Table1[[#This Row],[Days]]&lt;=2,"faster",IF(Table1[[#This Row],[Days]]&lt;=4,"Normal","slow"))</f>
        <v>Normal</v>
      </c>
    </row>
    <row r="295" spans="1:20" x14ac:dyDescent="0.25">
      <c r="A295" s="4" t="s">
        <v>328</v>
      </c>
      <c r="B295" s="1">
        <v>45237</v>
      </c>
      <c r="C295" s="1">
        <v>45240</v>
      </c>
      <c r="D295" s="13">
        <f>Table1[[#This Row],[Shipped date]]-Table1[[#This Row],[Order Date]]</f>
        <v>3</v>
      </c>
      <c r="E295" t="s">
        <v>13</v>
      </c>
      <c r="F295" s="13" t="str">
        <f>TEXT(Table1[[#This Row],[Order Date]],"MMMM")</f>
        <v>November</v>
      </c>
      <c r="G295" s="13">
        <f t="shared" si="8"/>
        <v>2023</v>
      </c>
      <c r="H295" s="13" t="str">
        <f t="shared" si="9"/>
        <v>Q4</v>
      </c>
      <c r="I295" s="1" t="s">
        <v>20</v>
      </c>
      <c r="J295" s="7" t="s">
        <v>32</v>
      </c>
      <c r="K295" s="7" t="s">
        <v>29</v>
      </c>
      <c r="L295" t="s">
        <v>30</v>
      </c>
      <c r="M295" s="9">
        <v>641.08000000000004</v>
      </c>
      <c r="N295" s="4">
        <v>2</v>
      </c>
      <c r="O295" s="12">
        <v>0.1</v>
      </c>
      <c r="P295" s="9">
        <v>5.12</v>
      </c>
      <c r="Q295" s="10">
        <f>Table1[[#This Row],[Profit]]/Table1[[#This Row],[Sales]]</f>
        <v>7.9865227428714044E-3</v>
      </c>
      <c r="R295" t="str">
        <f>IF(Table1[[#This Row],[Profit Margin]]&gt;0,"profit","loss")</f>
        <v>profit</v>
      </c>
      <c r="S295" t="str">
        <f>IF(Table1[[#This Row],[Discount]]=0,"No Discount",IF(Table1[[#This Row],[Discount]]&lt;=0.2,"low",IF(Table1[[#This Row],[Discount]]&lt;=0.3,"medium","high")))</f>
        <v>low</v>
      </c>
      <c r="T295" s="15" t="str">
        <f>IF(Table1[[#This Row],[Days]]&lt;=2,"faster",IF(Table1[[#This Row],[Days]]&lt;=4,"Normal","slow"))</f>
        <v>Normal</v>
      </c>
    </row>
    <row r="296" spans="1:20" x14ac:dyDescent="0.25">
      <c r="A296" s="4" t="s">
        <v>329</v>
      </c>
      <c r="B296" s="1">
        <v>45224</v>
      </c>
      <c r="C296" s="1">
        <v>45225</v>
      </c>
      <c r="D296" s="13">
        <f>Table1[[#This Row],[Shipped date]]-Table1[[#This Row],[Order Date]]</f>
        <v>1</v>
      </c>
      <c r="E296" t="s">
        <v>13</v>
      </c>
      <c r="F296" s="13" t="str">
        <f>TEXT(Table1[[#This Row],[Order Date]],"MMMM")</f>
        <v>October</v>
      </c>
      <c r="G296" s="13">
        <f t="shared" si="8"/>
        <v>2023</v>
      </c>
      <c r="H296" s="13" t="str">
        <f t="shared" si="9"/>
        <v>Q4</v>
      </c>
      <c r="I296" s="1" t="s">
        <v>14</v>
      </c>
      <c r="J296" s="7" t="s">
        <v>26</v>
      </c>
      <c r="K296" s="7" t="s">
        <v>29</v>
      </c>
      <c r="L296" t="s">
        <v>30</v>
      </c>
      <c r="M296" s="9">
        <v>879.66</v>
      </c>
      <c r="N296" s="4">
        <v>6</v>
      </c>
      <c r="O296" s="12">
        <v>0</v>
      </c>
      <c r="P296" s="9">
        <v>115.77</v>
      </c>
      <c r="Q296" s="10">
        <f>Table1[[#This Row],[Profit]]/Table1[[#This Row],[Sales]]</f>
        <v>0.13160766659845849</v>
      </c>
      <c r="R296" t="str">
        <f>IF(Table1[[#This Row],[Profit Margin]]&gt;0,"profit","loss")</f>
        <v>profit</v>
      </c>
      <c r="S296" t="str">
        <f>IF(Table1[[#This Row],[Discount]]=0,"No Discount",IF(Table1[[#This Row],[Discount]]&lt;=0.2,"low",IF(Table1[[#This Row],[Discount]]&lt;=0.3,"medium","high")))</f>
        <v>No Discount</v>
      </c>
      <c r="T296" s="15" t="str">
        <f>IF(Table1[[#This Row],[Days]]&lt;=2,"faster",IF(Table1[[#This Row],[Days]]&lt;=4,"Normal","slow"))</f>
        <v>faster</v>
      </c>
    </row>
    <row r="297" spans="1:20" x14ac:dyDescent="0.25">
      <c r="A297" s="4" t="s">
        <v>330</v>
      </c>
      <c r="B297" s="1">
        <v>45030</v>
      </c>
      <c r="C297" s="1">
        <v>45031</v>
      </c>
      <c r="D297" s="13">
        <f>Table1[[#This Row],[Shipped date]]-Table1[[#This Row],[Order Date]]</f>
        <v>1</v>
      </c>
      <c r="E297" t="s">
        <v>19</v>
      </c>
      <c r="F297" s="13" t="str">
        <f>TEXT(Table1[[#This Row],[Order Date]],"MMMM")</f>
        <v>April</v>
      </c>
      <c r="G297" s="13">
        <f t="shared" si="8"/>
        <v>2023</v>
      </c>
      <c r="H297" s="13" t="str">
        <f t="shared" si="9"/>
        <v>Q2</v>
      </c>
      <c r="I297" s="1" t="s">
        <v>37</v>
      </c>
      <c r="J297" s="7" t="s">
        <v>32</v>
      </c>
      <c r="K297" s="7" t="s">
        <v>22</v>
      </c>
      <c r="L297" t="s">
        <v>23</v>
      </c>
      <c r="M297" s="9">
        <v>462.91</v>
      </c>
      <c r="N297" s="4">
        <v>10</v>
      </c>
      <c r="O297" s="12">
        <v>0.3</v>
      </c>
      <c r="P297" s="9">
        <v>-86.2</v>
      </c>
      <c r="Q297" s="10">
        <f>Table1[[#This Row],[Profit]]/Table1[[#This Row],[Sales]]</f>
        <v>-0.18621330280184054</v>
      </c>
      <c r="R297" t="str">
        <f>IF(Table1[[#This Row],[Profit Margin]]&gt;0,"profit","loss")</f>
        <v>loss</v>
      </c>
      <c r="S297" t="str">
        <f>IF(Table1[[#This Row],[Discount]]=0,"No Discount",IF(Table1[[#This Row],[Discount]]&lt;=0.2,"low",IF(Table1[[#This Row],[Discount]]&lt;=0.3,"medium","high")))</f>
        <v>medium</v>
      </c>
      <c r="T297" s="15" t="str">
        <f>IF(Table1[[#This Row],[Days]]&lt;=2,"faster",IF(Table1[[#This Row],[Days]]&lt;=4,"Normal","slow"))</f>
        <v>faster</v>
      </c>
    </row>
    <row r="298" spans="1:20" x14ac:dyDescent="0.25">
      <c r="A298" s="4" t="s">
        <v>331</v>
      </c>
      <c r="B298" s="1">
        <v>45129</v>
      </c>
      <c r="C298" s="1">
        <v>45135</v>
      </c>
      <c r="D298" s="13">
        <f>Table1[[#This Row],[Shipped date]]-Table1[[#This Row],[Order Date]]</f>
        <v>6</v>
      </c>
      <c r="E298" t="s">
        <v>13</v>
      </c>
      <c r="F298" s="13" t="str">
        <f>TEXT(Table1[[#This Row],[Order Date]],"MMMM")</f>
        <v>July</v>
      </c>
      <c r="G298" s="13">
        <f t="shared" si="8"/>
        <v>2023</v>
      </c>
      <c r="H298" s="13" t="str">
        <f t="shared" si="9"/>
        <v>Q3</v>
      </c>
      <c r="I298" s="1" t="s">
        <v>37</v>
      </c>
      <c r="J298" s="7" t="s">
        <v>32</v>
      </c>
      <c r="K298" s="7" t="s">
        <v>22</v>
      </c>
      <c r="L298" t="s">
        <v>35</v>
      </c>
      <c r="M298" s="9">
        <v>473.43</v>
      </c>
      <c r="N298" s="4">
        <v>8</v>
      </c>
      <c r="O298" s="12">
        <v>0.1</v>
      </c>
      <c r="P298" s="9">
        <v>17.78</v>
      </c>
      <c r="Q298" s="10">
        <f>Table1[[#This Row],[Profit]]/Table1[[#This Row],[Sales]]</f>
        <v>3.7555710453498932E-2</v>
      </c>
      <c r="R298" t="str">
        <f>IF(Table1[[#This Row],[Profit Margin]]&gt;0,"profit","loss")</f>
        <v>profit</v>
      </c>
      <c r="S298" t="str">
        <f>IF(Table1[[#This Row],[Discount]]=0,"No Discount",IF(Table1[[#This Row],[Discount]]&lt;=0.2,"low",IF(Table1[[#This Row],[Discount]]&lt;=0.3,"medium","high")))</f>
        <v>low</v>
      </c>
      <c r="T298" s="15" t="str">
        <f>IF(Table1[[#This Row],[Days]]&lt;=2,"faster",IF(Table1[[#This Row],[Days]]&lt;=4,"Normal","slow"))</f>
        <v>slow</v>
      </c>
    </row>
    <row r="299" spans="1:20" x14ac:dyDescent="0.25">
      <c r="A299" s="4" t="s">
        <v>332</v>
      </c>
      <c r="B299" s="1">
        <v>45025</v>
      </c>
      <c r="C299" s="1">
        <v>45028</v>
      </c>
      <c r="D299" s="13">
        <f>Table1[[#This Row],[Shipped date]]-Table1[[#This Row],[Order Date]]</f>
        <v>3</v>
      </c>
      <c r="E299" t="s">
        <v>28</v>
      </c>
      <c r="F299" s="13" t="str">
        <f>TEXT(Table1[[#This Row],[Order Date]],"MMMM")</f>
        <v>April</v>
      </c>
      <c r="G299" s="13">
        <f t="shared" si="8"/>
        <v>2023</v>
      </c>
      <c r="H299" s="13" t="str">
        <f t="shared" si="9"/>
        <v>Q2</v>
      </c>
      <c r="I299" s="1" t="s">
        <v>37</v>
      </c>
      <c r="J299" s="7" t="s">
        <v>32</v>
      </c>
      <c r="K299" s="7" t="s">
        <v>22</v>
      </c>
      <c r="L299" t="s">
        <v>40</v>
      </c>
      <c r="M299" s="9">
        <v>449.97</v>
      </c>
      <c r="N299" s="4">
        <v>1</v>
      </c>
      <c r="O299" s="12">
        <v>0</v>
      </c>
      <c r="P299" s="9">
        <v>41.25</v>
      </c>
      <c r="Q299" s="10">
        <f>Table1[[#This Row],[Profit]]/Table1[[#This Row],[Sales]]</f>
        <v>9.1672778185212342E-2</v>
      </c>
      <c r="R299" t="str">
        <f>IF(Table1[[#This Row],[Profit Margin]]&gt;0,"profit","loss")</f>
        <v>profit</v>
      </c>
      <c r="S299" t="str">
        <f>IF(Table1[[#This Row],[Discount]]=0,"No Discount",IF(Table1[[#This Row],[Discount]]&lt;=0.2,"low",IF(Table1[[#This Row],[Discount]]&lt;=0.3,"medium","high")))</f>
        <v>No Discount</v>
      </c>
      <c r="T299" s="15" t="str">
        <f>IF(Table1[[#This Row],[Days]]&lt;=2,"faster",IF(Table1[[#This Row],[Days]]&lt;=4,"Normal","slow"))</f>
        <v>Normal</v>
      </c>
    </row>
    <row r="300" spans="1:20" x14ac:dyDescent="0.25">
      <c r="A300" s="4" t="s">
        <v>333</v>
      </c>
      <c r="B300" s="1">
        <v>44934</v>
      </c>
      <c r="C300" s="1">
        <v>44936</v>
      </c>
      <c r="D300" s="13">
        <f>Table1[[#This Row],[Shipped date]]-Table1[[#This Row],[Order Date]]</f>
        <v>2</v>
      </c>
      <c r="E300" t="s">
        <v>13</v>
      </c>
      <c r="F300" s="13" t="str">
        <f>TEXT(Table1[[#This Row],[Order Date]],"MMMM")</f>
        <v>January</v>
      </c>
      <c r="G300" s="13">
        <f t="shared" si="8"/>
        <v>2023</v>
      </c>
      <c r="H300" s="13" t="str">
        <f t="shared" si="9"/>
        <v>Q1</v>
      </c>
      <c r="I300" s="1" t="s">
        <v>14</v>
      </c>
      <c r="J300" s="7" t="s">
        <v>26</v>
      </c>
      <c r="K300" s="7" t="s">
        <v>29</v>
      </c>
      <c r="L300" t="s">
        <v>45</v>
      </c>
      <c r="M300" s="9">
        <v>901.58</v>
      </c>
      <c r="N300" s="4">
        <v>9</v>
      </c>
      <c r="O300" s="12">
        <v>0.2</v>
      </c>
      <c r="P300" s="9">
        <v>-72.930000000000007</v>
      </c>
      <c r="Q300" s="10">
        <f>Table1[[#This Row],[Profit]]/Table1[[#This Row],[Sales]]</f>
        <v>-8.0891324119878441E-2</v>
      </c>
      <c r="R300" t="str">
        <f>IF(Table1[[#This Row],[Profit Margin]]&gt;0,"profit","loss")</f>
        <v>loss</v>
      </c>
      <c r="S300" t="str">
        <f>IF(Table1[[#This Row],[Discount]]=0,"No Discount",IF(Table1[[#This Row],[Discount]]&lt;=0.2,"low",IF(Table1[[#This Row],[Discount]]&lt;=0.3,"medium","high")))</f>
        <v>low</v>
      </c>
      <c r="T300" s="15" t="str">
        <f>IF(Table1[[#This Row],[Days]]&lt;=2,"faster",IF(Table1[[#This Row],[Days]]&lt;=4,"Normal","slow"))</f>
        <v>faster</v>
      </c>
    </row>
    <row r="301" spans="1:20" x14ac:dyDescent="0.25">
      <c r="A301" s="4" t="s">
        <v>334</v>
      </c>
      <c r="B301" s="1">
        <v>45259</v>
      </c>
      <c r="C301" s="1">
        <v>45261</v>
      </c>
      <c r="D301" s="13">
        <f>Table1[[#This Row],[Shipped date]]-Table1[[#This Row],[Order Date]]</f>
        <v>2</v>
      </c>
      <c r="E301" t="s">
        <v>25</v>
      </c>
      <c r="F301" s="13" t="str">
        <f>TEXT(Table1[[#This Row],[Order Date]],"MMMM")</f>
        <v>November</v>
      </c>
      <c r="G301" s="13">
        <f t="shared" si="8"/>
        <v>2023</v>
      </c>
      <c r="H301" s="13" t="str">
        <f t="shared" si="9"/>
        <v>Q4</v>
      </c>
      <c r="I301" s="1" t="s">
        <v>14</v>
      </c>
      <c r="J301" s="7" t="s">
        <v>15</v>
      </c>
      <c r="K301" s="7" t="s">
        <v>22</v>
      </c>
      <c r="L301" t="s">
        <v>35</v>
      </c>
      <c r="M301" s="9">
        <v>85.29</v>
      </c>
      <c r="N301" s="4">
        <v>1</v>
      </c>
      <c r="O301" s="12">
        <v>0.3</v>
      </c>
      <c r="P301" s="9">
        <v>6.64</v>
      </c>
      <c r="Q301" s="10">
        <f>Table1[[#This Row],[Profit]]/Table1[[#This Row],[Sales]]</f>
        <v>7.7852034236135528E-2</v>
      </c>
      <c r="R301" t="str">
        <f>IF(Table1[[#This Row],[Profit Margin]]&gt;0,"profit","loss")</f>
        <v>profit</v>
      </c>
      <c r="S301" t="str">
        <f>IF(Table1[[#This Row],[Discount]]=0,"No Discount",IF(Table1[[#This Row],[Discount]]&lt;=0.2,"low",IF(Table1[[#This Row],[Discount]]&lt;=0.3,"medium","high")))</f>
        <v>medium</v>
      </c>
      <c r="T301" s="15" t="str">
        <f>IF(Table1[[#This Row],[Days]]&lt;=2,"faster",IF(Table1[[#This Row],[Days]]&lt;=4,"Normal","slow"))</f>
        <v>faster</v>
      </c>
    </row>
    <row r="302" spans="1:20" x14ac:dyDescent="0.25">
      <c r="A302" s="4" t="s">
        <v>335</v>
      </c>
      <c r="B302" s="1">
        <v>44938</v>
      </c>
      <c r="C302" s="1">
        <v>44940</v>
      </c>
      <c r="D302" s="13">
        <f>Table1[[#This Row],[Shipped date]]-Table1[[#This Row],[Order Date]]</f>
        <v>2</v>
      </c>
      <c r="E302" t="s">
        <v>13</v>
      </c>
      <c r="F302" s="13" t="str">
        <f>TEXT(Table1[[#This Row],[Order Date]],"MMMM")</f>
        <v>January</v>
      </c>
      <c r="G302" s="13">
        <f t="shared" si="8"/>
        <v>2023</v>
      </c>
      <c r="H302" s="13" t="str">
        <f t="shared" si="9"/>
        <v>Q1</v>
      </c>
      <c r="I302" s="1" t="s">
        <v>37</v>
      </c>
      <c r="J302" s="7" t="s">
        <v>32</v>
      </c>
      <c r="K302" s="7" t="s">
        <v>29</v>
      </c>
      <c r="L302" t="s">
        <v>43</v>
      </c>
      <c r="M302" s="9">
        <v>134.56</v>
      </c>
      <c r="N302" s="4">
        <v>9</v>
      </c>
      <c r="O302" s="12">
        <v>0.1</v>
      </c>
      <c r="P302" s="9">
        <v>3.3</v>
      </c>
      <c r="Q302" s="10">
        <f>Table1[[#This Row],[Profit]]/Table1[[#This Row],[Sales]]</f>
        <v>2.45243757431629E-2</v>
      </c>
      <c r="R302" t="str">
        <f>IF(Table1[[#This Row],[Profit Margin]]&gt;0,"profit","loss")</f>
        <v>profit</v>
      </c>
      <c r="S302" t="str">
        <f>IF(Table1[[#This Row],[Discount]]=0,"No Discount",IF(Table1[[#This Row],[Discount]]&lt;=0.2,"low",IF(Table1[[#This Row],[Discount]]&lt;=0.3,"medium","high")))</f>
        <v>low</v>
      </c>
      <c r="T302" s="15" t="str">
        <f>IF(Table1[[#This Row],[Days]]&lt;=2,"faster",IF(Table1[[#This Row],[Days]]&lt;=4,"Normal","slow"))</f>
        <v>faster</v>
      </c>
    </row>
    <row r="303" spans="1:20" x14ac:dyDescent="0.25">
      <c r="A303" s="4" t="s">
        <v>336</v>
      </c>
      <c r="B303" s="1">
        <v>45037</v>
      </c>
      <c r="C303" s="1">
        <v>45041</v>
      </c>
      <c r="D303" s="13">
        <f>Table1[[#This Row],[Shipped date]]-Table1[[#This Row],[Order Date]]</f>
        <v>4</v>
      </c>
      <c r="E303" t="s">
        <v>13</v>
      </c>
      <c r="F303" s="13" t="str">
        <f>TEXT(Table1[[#This Row],[Order Date]],"MMMM")</f>
        <v>April</v>
      </c>
      <c r="G303" s="13">
        <f t="shared" si="8"/>
        <v>2023</v>
      </c>
      <c r="H303" s="13" t="str">
        <f t="shared" si="9"/>
        <v>Q2</v>
      </c>
      <c r="I303" s="1" t="s">
        <v>14</v>
      </c>
      <c r="J303" s="7" t="s">
        <v>32</v>
      </c>
      <c r="K303" s="7" t="s">
        <v>29</v>
      </c>
      <c r="L303" t="s">
        <v>43</v>
      </c>
      <c r="M303" s="9">
        <v>735.94</v>
      </c>
      <c r="N303" s="4">
        <v>8</v>
      </c>
      <c r="O303" s="12">
        <v>0.1</v>
      </c>
      <c r="P303" s="9">
        <v>-10.25</v>
      </c>
      <c r="Q303" s="10">
        <f>Table1[[#This Row],[Profit]]/Table1[[#This Row],[Sales]]</f>
        <v>-1.3927765850476941E-2</v>
      </c>
      <c r="R303" t="str">
        <f>IF(Table1[[#This Row],[Profit Margin]]&gt;0,"profit","loss")</f>
        <v>loss</v>
      </c>
      <c r="S303" t="str">
        <f>IF(Table1[[#This Row],[Discount]]=0,"No Discount",IF(Table1[[#This Row],[Discount]]&lt;=0.2,"low",IF(Table1[[#This Row],[Discount]]&lt;=0.3,"medium","high")))</f>
        <v>low</v>
      </c>
      <c r="T303" s="15" t="str">
        <f>IF(Table1[[#This Row],[Days]]&lt;=2,"faster",IF(Table1[[#This Row],[Days]]&lt;=4,"Normal","slow"))</f>
        <v>Normal</v>
      </c>
    </row>
    <row r="304" spans="1:20" x14ac:dyDescent="0.25">
      <c r="A304" s="4" t="s">
        <v>337</v>
      </c>
      <c r="B304" s="1">
        <v>44948</v>
      </c>
      <c r="C304" s="1">
        <v>44951</v>
      </c>
      <c r="D304" s="13">
        <f>Table1[[#This Row],[Shipped date]]-Table1[[#This Row],[Order Date]]</f>
        <v>3</v>
      </c>
      <c r="E304" t="s">
        <v>28</v>
      </c>
      <c r="F304" s="13" t="str">
        <f>TEXT(Table1[[#This Row],[Order Date]],"MMMM")</f>
        <v>January</v>
      </c>
      <c r="G304" s="13">
        <f t="shared" si="8"/>
        <v>2023</v>
      </c>
      <c r="H304" s="13" t="str">
        <f t="shared" si="9"/>
        <v>Q1</v>
      </c>
      <c r="I304" s="1" t="s">
        <v>20</v>
      </c>
      <c r="J304" s="7" t="s">
        <v>26</v>
      </c>
      <c r="K304" s="7" t="s">
        <v>16</v>
      </c>
      <c r="L304" t="s">
        <v>38</v>
      </c>
      <c r="M304" s="9">
        <v>798.14</v>
      </c>
      <c r="N304" s="4">
        <v>8</v>
      </c>
      <c r="O304" s="12">
        <v>0</v>
      </c>
      <c r="P304" s="9">
        <v>94.49</v>
      </c>
      <c r="Q304" s="10">
        <f>Table1[[#This Row],[Profit]]/Table1[[#This Row],[Sales]]</f>
        <v>0.11838775152228932</v>
      </c>
      <c r="R304" t="str">
        <f>IF(Table1[[#This Row],[Profit Margin]]&gt;0,"profit","loss")</f>
        <v>profit</v>
      </c>
      <c r="S304" t="str">
        <f>IF(Table1[[#This Row],[Discount]]=0,"No Discount",IF(Table1[[#This Row],[Discount]]&lt;=0.2,"low",IF(Table1[[#This Row],[Discount]]&lt;=0.3,"medium","high")))</f>
        <v>No Discount</v>
      </c>
      <c r="T304" s="15" t="str">
        <f>IF(Table1[[#This Row],[Days]]&lt;=2,"faster",IF(Table1[[#This Row],[Days]]&lt;=4,"Normal","slow"))</f>
        <v>Normal</v>
      </c>
    </row>
    <row r="305" spans="1:20" x14ac:dyDescent="0.25">
      <c r="A305" s="4" t="s">
        <v>338</v>
      </c>
      <c r="B305" s="1">
        <v>44955</v>
      </c>
      <c r="C305" s="1">
        <v>44960</v>
      </c>
      <c r="D305" s="13">
        <f>Table1[[#This Row],[Shipped date]]-Table1[[#This Row],[Order Date]]</f>
        <v>5</v>
      </c>
      <c r="E305" t="s">
        <v>28</v>
      </c>
      <c r="F305" s="13" t="str">
        <f>TEXT(Table1[[#This Row],[Order Date]],"MMMM")</f>
        <v>January</v>
      </c>
      <c r="G305" s="13">
        <f t="shared" si="8"/>
        <v>2023</v>
      </c>
      <c r="H305" s="13" t="str">
        <f t="shared" si="9"/>
        <v>Q1</v>
      </c>
      <c r="I305" s="1" t="s">
        <v>20</v>
      </c>
      <c r="J305" s="7" t="s">
        <v>26</v>
      </c>
      <c r="K305" s="7" t="s">
        <v>22</v>
      </c>
      <c r="L305" t="s">
        <v>40</v>
      </c>
      <c r="M305" s="9">
        <v>746.63</v>
      </c>
      <c r="N305" s="4">
        <v>7</v>
      </c>
      <c r="O305" s="12">
        <v>0.2</v>
      </c>
      <c r="P305" s="9">
        <v>-39.46</v>
      </c>
      <c r="Q305" s="10">
        <f>Table1[[#This Row],[Profit]]/Table1[[#This Row],[Sales]]</f>
        <v>-5.2850809637973298E-2</v>
      </c>
      <c r="R305" t="str">
        <f>IF(Table1[[#This Row],[Profit Margin]]&gt;0,"profit","loss")</f>
        <v>loss</v>
      </c>
      <c r="S305" t="str">
        <f>IF(Table1[[#This Row],[Discount]]=0,"No Discount",IF(Table1[[#This Row],[Discount]]&lt;=0.2,"low",IF(Table1[[#This Row],[Discount]]&lt;=0.3,"medium","high")))</f>
        <v>low</v>
      </c>
      <c r="T305" s="15" t="str">
        <f>IF(Table1[[#This Row],[Days]]&lt;=2,"faster",IF(Table1[[#This Row],[Days]]&lt;=4,"Normal","slow"))</f>
        <v>slow</v>
      </c>
    </row>
    <row r="306" spans="1:20" x14ac:dyDescent="0.25">
      <c r="A306" s="4" t="s">
        <v>339</v>
      </c>
      <c r="B306" s="1">
        <v>45272</v>
      </c>
      <c r="C306" s="1">
        <v>45276</v>
      </c>
      <c r="D306" s="13">
        <f>Table1[[#This Row],[Shipped date]]-Table1[[#This Row],[Order Date]]</f>
        <v>4</v>
      </c>
      <c r="E306" t="s">
        <v>19</v>
      </c>
      <c r="F306" s="13" t="str">
        <f>TEXT(Table1[[#This Row],[Order Date]],"MMMM")</f>
        <v>December</v>
      </c>
      <c r="G306" s="13">
        <f t="shared" si="8"/>
        <v>2023</v>
      </c>
      <c r="H306" s="13" t="str">
        <f t="shared" si="9"/>
        <v>Q4</v>
      </c>
      <c r="I306" s="1" t="s">
        <v>37</v>
      </c>
      <c r="J306" s="7" t="s">
        <v>26</v>
      </c>
      <c r="K306" s="7" t="s">
        <v>29</v>
      </c>
      <c r="L306" t="s">
        <v>43</v>
      </c>
      <c r="M306" s="9">
        <v>168.64</v>
      </c>
      <c r="N306" s="4">
        <v>7</v>
      </c>
      <c r="O306" s="12">
        <v>0</v>
      </c>
      <c r="P306" s="9">
        <v>46.35</v>
      </c>
      <c r="Q306" s="10">
        <f>Table1[[#This Row],[Profit]]/Table1[[#This Row],[Sales]]</f>
        <v>0.27484582542694502</v>
      </c>
      <c r="R306" t="str">
        <f>IF(Table1[[#This Row],[Profit Margin]]&gt;0,"profit","loss")</f>
        <v>profit</v>
      </c>
      <c r="S306" t="str">
        <f>IF(Table1[[#This Row],[Discount]]=0,"No Discount",IF(Table1[[#This Row],[Discount]]&lt;=0.2,"low",IF(Table1[[#This Row],[Discount]]&lt;=0.3,"medium","high")))</f>
        <v>No Discount</v>
      </c>
      <c r="T306" s="15" t="str">
        <f>IF(Table1[[#This Row],[Days]]&lt;=2,"faster",IF(Table1[[#This Row],[Days]]&lt;=4,"Normal","slow"))</f>
        <v>Normal</v>
      </c>
    </row>
    <row r="307" spans="1:20" x14ac:dyDescent="0.25">
      <c r="A307" s="4" t="s">
        <v>340</v>
      </c>
      <c r="B307" s="1">
        <v>45029</v>
      </c>
      <c r="C307" s="1">
        <v>45031</v>
      </c>
      <c r="D307" s="13">
        <f>Table1[[#This Row],[Shipped date]]-Table1[[#This Row],[Order Date]]</f>
        <v>2</v>
      </c>
      <c r="E307" t="s">
        <v>19</v>
      </c>
      <c r="F307" s="13" t="str">
        <f>TEXT(Table1[[#This Row],[Order Date]],"MMMM")</f>
        <v>April</v>
      </c>
      <c r="G307" s="13">
        <f t="shared" si="8"/>
        <v>2023</v>
      </c>
      <c r="H307" s="13" t="str">
        <f t="shared" si="9"/>
        <v>Q2</v>
      </c>
      <c r="I307" s="1" t="s">
        <v>37</v>
      </c>
      <c r="J307" s="7" t="s">
        <v>15</v>
      </c>
      <c r="K307" s="7" t="s">
        <v>29</v>
      </c>
      <c r="L307" t="s">
        <v>30</v>
      </c>
      <c r="M307" s="9">
        <v>783</v>
      </c>
      <c r="N307" s="4">
        <v>6</v>
      </c>
      <c r="O307" s="12">
        <v>0</v>
      </c>
      <c r="P307" s="9">
        <v>60.65</v>
      </c>
      <c r="Q307" s="10">
        <f>Table1[[#This Row],[Profit]]/Table1[[#This Row],[Sales]]</f>
        <v>7.7458492975734358E-2</v>
      </c>
      <c r="R307" t="str">
        <f>IF(Table1[[#This Row],[Profit Margin]]&gt;0,"profit","loss")</f>
        <v>profit</v>
      </c>
      <c r="S307" t="str">
        <f>IF(Table1[[#This Row],[Discount]]=0,"No Discount",IF(Table1[[#This Row],[Discount]]&lt;=0.2,"low",IF(Table1[[#This Row],[Discount]]&lt;=0.3,"medium","high")))</f>
        <v>No Discount</v>
      </c>
      <c r="T307" s="15" t="str">
        <f>IF(Table1[[#This Row],[Days]]&lt;=2,"faster",IF(Table1[[#This Row],[Days]]&lt;=4,"Normal","slow"))</f>
        <v>faster</v>
      </c>
    </row>
    <row r="308" spans="1:20" x14ac:dyDescent="0.25">
      <c r="A308" s="4" t="s">
        <v>341</v>
      </c>
      <c r="B308" s="1">
        <v>45108</v>
      </c>
      <c r="C308" s="1">
        <v>45110</v>
      </c>
      <c r="D308" s="13">
        <f>Table1[[#This Row],[Shipped date]]-Table1[[#This Row],[Order Date]]</f>
        <v>2</v>
      </c>
      <c r="E308" t="s">
        <v>13</v>
      </c>
      <c r="F308" s="13" t="str">
        <f>TEXT(Table1[[#This Row],[Order Date]],"MMMM")</f>
        <v>July</v>
      </c>
      <c r="G308" s="13">
        <f t="shared" si="8"/>
        <v>2023</v>
      </c>
      <c r="H308" s="13" t="str">
        <f t="shared" si="9"/>
        <v>Q3</v>
      </c>
      <c r="I308" s="1" t="s">
        <v>37</v>
      </c>
      <c r="J308" s="7" t="s">
        <v>21</v>
      </c>
      <c r="K308" s="7" t="s">
        <v>16</v>
      </c>
      <c r="L308" t="s">
        <v>17</v>
      </c>
      <c r="M308" s="9">
        <v>578.49</v>
      </c>
      <c r="N308" s="4">
        <v>4</v>
      </c>
      <c r="O308" s="12">
        <v>0.1</v>
      </c>
      <c r="P308" s="9">
        <v>14.58</v>
      </c>
      <c r="Q308" s="10">
        <f>Table1[[#This Row],[Profit]]/Table1[[#This Row],[Sales]]</f>
        <v>2.5203547165897424E-2</v>
      </c>
      <c r="R308" t="str">
        <f>IF(Table1[[#This Row],[Profit Margin]]&gt;0,"profit","loss")</f>
        <v>profit</v>
      </c>
      <c r="S308" t="str">
        <f>IF(Table1[[#This Row],[Discount]]=0,"No Discount",IF(Table1[[#This Row],[Discount]]&lt;=0.2,"low",IF(Table1[[#This Row],[Discount]]&lt;=0.3,"medium","high")))</f>
        <v>low</v>
      </c>
      <c r="T308" s="15" t="str">
        <f>IF(Table1[[#This Row],[Days]]&lt;=2,"faster",IF(Table1[[#This Row],[Days]]&lt;=4,"Normal","slow"))</f>
        <v>faster</v>
      </c>
    </row>
    <row r="309" spans="1:20" x14ac:dyDescent="0.25">
      <c r="A309" s="4" t="s">
        <v>342</v>
      </c>
      <c r="B309" s="1">
        <v>45262</v>
      </c>
      <c r="C309" s="1">
        <v>45267</v>
      </c>
      <c r="D309" s="13">
        <f>Table1[[#This Row],[Shipped date]]-Table1[[#This Row],[Order Date]]</f>
        <v>5</v>
      </c>
      <c r="E309" t="s">
        <v>13</v>
      </c>
      <c r="F309" s="13" t="str">
        <f>TEXT(Table1[[#This Row],[Order Date]],"MMMM")</f>
        <v>December</v>
      </c>
      <c r="G309" s="13">
        <f t="shared" si="8"/>
        <v>2023</v>
      </c>
      <c r="H309" s="13" t="str">
        <f t="shared" si="9"/>
        <v>Q4</v>
      </c>
      <c r="I309" s="1" t="s">
        <v>14</v>
      </c>
      <c r="J309" s="7" t="s">
        <v>32</v>
      </c>
      <c r="K309" s="7" t="s">
        <v>22</v>
      </c>
      <c r="L309" t="s">
        <v>23</v>
      </c>
      <c r="M309" s="9">
        <v>759.54</v>
      </c>
      <c r="N309" s="4">
        <v>2</v>
      </c>
      <c r="O309" s="12">
        <v>0.1</v>
      </c>
      <c r="P309" s="9">
        <v>37.49</v>
      </c>
      <c r="Q309" s="10">
        <f>Table1[[#This Row],[Profit]]/Table1[[#This Row],[Sales]]</f>
        <v>4.935882244516418E-2</v>
      </c>
      <c r="R309" t="str">
        <f>IF(Table1[[#This Row],[Profit Margin]]&gt;0,"profit","loss")</f>
        <v>profit</v>
      </c>
      <c r="S309" t="str">
        <f>IF(Table1[[#This Row],[Discount]]=0,"No Discount",IF(Table1[[#This Row],[Discount]]&lt;=0.2,"low",IF(Table1[[#This Row],[Discount]]&lt;=0.3,"medium","high")))</f>
        <v>low</v>
      </c>
      <c r="T309" s="15" t="str">
        <f>IF(Table1[[#This Row],[Days]]&lt;=2,"faster",IF(Table1[[#This Row],[Days]]&lt;=4,"Normal","slow"))</f>
        <v>slow</v>
      </c>
    </row>
    <row r="310" spans="1:20" x14ac:dyDescent="0.25">
      <c r="A310" s="4" t="s">
        <v>343</v>
      </c>
      <c r="B310" s="1">
        <v>45217</v>
      </c>
      <c r="C310" s="1">
        <v>45218</v>
      </c>
      <c r="D310" s="13">
        <f>Table1[[#This Row],[Shipped date]]-Table1[[#This Row],[Order Date]]</f>
        <v>1</v>
      </c>
      <c r="E310" t="s">
        <v>13</v>
      </c>
      <c r="F310" s="13" t="str">
        <f>TEXT(Table1[[#This Row],[Order Date]],"MMMM")</f>
        <v>October</v>
      </c>
      <c r="G310" s="13">
        <f t="shared" si="8"/>
        <v>2023</v>
      </c>
      <c r="H310" s="13" t="str">
        <f t="shared" si="9"/>
        <v>Q4</v>
      </c>
      <c r="I310" s="1" t="s">
        <v>37</v>
      </c>
      <c r="J310" s="7" t="s">
        <v>15</v>
      </c>
      <c r="K310" s="7" t="s">
        <v>29</v>
      </c>
      <c r="L310" t="s">
        <v>45</v>
      </c>
      <c r="M310" s="9">
        <v>128.41999999999999</v>
      </c>
      <c r="N310" s="4">
        <v>7</v>
      </c>
      <c r="O310" s="12">
        <v>0.3</v>
      </c>
      <c r="P310" s="9">
        <v>-13.69</v>
      </c>
      <c r="Q310" s="10">
        <f>Table1[[#This Row],[Profit]]/Table1[[#This Row],[Sales]]</f>
        <v>-0.10660333281420341</v>
      </c>
      <c r="R310" t="str">
        <f>IF(Table1[[#This Row],[Profit Margin]]&gt;0,"profit","loss")</f>
        <v>loss</v>
      </c>
      <c r="S310" t="str">
        <f>IF(Table1[[#This Row],[Discount]]=0,"No Discount",IF(Table1[[#This Row],[Discount]]&lt;=0.2,"low",IF(Table1[[#This Row],[Discount]]&lt;=0.3,"medium","high")))</f>
        <v>medium</v>
      </c>
      <c r="T310" s="15" t="str">
        <f>IF(Table1[[#This Row],[Days]]&lt;=2,"faster",IF(Table1[[#This Row],[Days]]&lt;=4,"Normal","slow"))</f>
        <v>faster</v>
      </c>
    </row>
    <row r="311" spans="1:20" x14ac:dyDescent="0.25">
      <c r="A311" s="4" t="s">
        <v>344</v>
      </c>
      <c r="B311" s="1">
        <v>45053</v>
      </c>
      <c r="C311" s="1">
        <v>45056</v>
      </c>
      <c r="D311" s="13">
        <f>Table1[[#This Row],[Shipped date]]-Table1[[#This Row],[Order Date]]</f>
        <v>3</v>
      </c>
      <c r="E311" t="s">
        <v>19</v>
      </c>
      <c r="F311" s="13" t="str">
        <f>TEXT(Table1[[#This Row],[Order Date]],"MMMM")</f>
        <v>May</v>
      </c>
      <c r="G311" s="13">
        <f t="shared" si="8"/>
        <v>2023</v>
      </c>
      <c r="H311" s="13" t="str">
        <f t="shared" si="9"/>
        <v>Q2</v>
      </c>
      <c r="I311" s="1" t="s">
        <v>37</v>
      </c>
      <c r="J311" s="7" t="s">
        <v>15</v>
      </c>
      <c r="K311" s="7" t="s">
        <v>16</v>
      </c>
      <c r="L311" t="s">
        <v>38</v>
      </c>
      <c r="M311" s="9">
        <v>611.88</v>
      </c>
      <c r="N311" s="4">
        <v>1</v>
      </c>
      <c r="O311" s="12">
        <v>0.2</v>
      </c>
      <c r="P311" s="9">
        <v>-25.38</v>
      </c>
      <c r="Q311" s="10">
        <f>Table1[[#This Row],[Profit]]/Table1[[#This Row],[Sales]]</f>
        <v>-4.1478721317905469E-2</v>
      </c>
      <c r="R311" t="str">
        <f>IF(Table1[[#This Row],[Profit Margin]]&gt;0,"profit","loss")</f>
        <v>loss</v>
      </c>
      <c r="S311" t="str">
        <f>IF(Table1[[#This Row],[Discount]]=0,"No Discount",IF(Table1[[#This Row],[Discount]]&lt;=0.2,"low",IF(Table1[[#This Row],[Discount]]&lt;=0.3,"medium","high")))</f>
        <v>low</v>
      </c>
      <c r="T311" s="15" t="str">
        <f>IF(Table1[[#This Row],[Days]]&lt;=2,"faster",IF(Table1[[#This Row],[Days]]&lt;=4,"Normal","slow"))</f>
        <v>Normal</v>
      </c>
    </row>
    <row r="312" spans="1:20" x14ac:dyDescent="0.25">
      <c r="A312" s="4" t="s">
        <v>345</v>
      </c>
      <c r="B312" s="1">
        <v>44999</v>
      </c>
      <c r="C312" s="1">
        <v>45000</v>
      </c>
      <c r="D312" s="13">
        <f>Table1[[#This Row],[Shipped date]]-Table1[[#This Row],[Order Date]]</f>
        <v>1</v>
      </c>
      <c r="E312" t="s">
        <v>28</v>
      </c>
      <c r="F312" s="13" t="str">
        <f>TEXT(Table1[[#This Row],[Order Date]],"MMMM")</f>
        <v>March</v>
      </c>
      <c r="G312" s="13">
        <f t="shared" si="8"/>
        <v>2023</v>
      </c>
      <c r="H312" s="13" t="str">
        <f t="shared" si="9"/>
        <v>Q1</v>
      </c>
      <c r="I312" s="1" t="s">
        <v>37</v>
      </c>
      <c r="J312" s="7" t="s">
        <v>32</v>
      </c>
      <c r="K312" s="7" t="s">
        <v>29</v>
      </c>
      <c r="L312" t="s">
        <v>30</v>
      </c>
      <c r="M312" s="9">
        <v>166.92</v>
      </c>
      <c r="N312" s="4">
        <v>7</v>
      </c>
      <c r="O312" s="12">
        <v>0.2</v>
      </c>
      <c r="P312" s="9">
        <v>-8.07</v>
      </c>
      <c r="Q312" s="10">
        <f>Table1[[#This Row],[Profit]]/Table1[[#This Row],[Sales]]</f>
        <v>-4.834651329978433E-2</v>
      </c>
      <c r="R312" t="str">
        <f>IF(Table1[[#This Row],[Profit Margin]]&gt;0,"profit","loss")</f>
        <v>loss</v>
      </c>
      <c r="S312" t="str">
        <f>IF(Table1[[#This Row],[Discount]]=0,"No Discount",IF(Table1[[#This Row],[Discount]]&lt;=0.2,"low",IF(Table1[[#This Row],[Discount]]&lt;=0.3,"medium","high")))</f>
        <v>low</v>
      </c>
      <c r="T312" s="15" t="str">
        <f>IF(Table1[[#This Row],[Days]]&lt;=2,"faster",IF(Table1[[#This Row],[Days]]&lt;=4,"Normal","slow"))</f>
        <v>faster</v>
      </c>
    </row>
    <row r="313" spans="1:20" x14ac:dyDescent="0.25">
      <c r="A313" s="4" t="s">
        <v>346</v>
      </c>
      <c r="B313" s="1">
        <v>45285</v>
      </c>
      <c r="C313" s="1">
        <v>45287</v>
      </c>
      <c r="D313" s="13">
        <f>Table1[[#This Row],[Shipped date]]-Table1[[#This Row],[Order Date]]</f>
        <v>2</v>
      </c>
      <c r="E313" t="s">
        <v>28</v>
      </c>
      <c r="F313" s="13" t="str">
        <f>TEXT(Table1[[#This Row],[Order Date]],"MMMM")</f>
        <v>December</v>
      </c>
      <c r="G313" s="13">
        <f t="shared" si="8"/>
        <v>2023</v>
      </c>
      <c r="H313" s="13" t="str">
        <f t="shared" si="9"/>
        <v>Q4</v>
      </c>
      <c r="I313" s="1" t="s">
        <v>14</v>
      </c>
      <c r="J313" s="7" t="s">
        <v>26</v>
      </c>
      <c r="K313" s="7" t="s">
        <v>16</v>
      </c>
      <c r="L313" t="s">
        <v>17</v>
      </c>
      <c r="M313" s="9">
        <v>776.44</v>
      </c>
      <c r="N313" s="4">
        <v>9</v>
      </c>
      <c r="O313" s="12">
        <v>0.2</v>
      </c>
      <c r="P313" s="9">
        <v>-52.76</v>
      </c>
      <c r="Q313" s="10">
        <f>Table1[[#This Row],[Profit]]/Table1[[#This Row],[Sales]]</f>
        <v>-6.7951161712431082E-2</v>
      </c>
      <c r="R313" t="str">
        <f>IF(Table1[[#This Row],[Profit Margin]]&gt;0,"profit","loss")</f>
        <v>loss</v>
      </c>
      <c r="S313" t="str">
        <f>IF(Table1[[#This Row],[Discount]]=0,"No Discount",IF(Table1[[#This Row],[Discount]]&lt;=0.2,"low",IF(Table1[[#This Row],[Discount]]&lt;=0.3,"medium","high")))</f>
        <v>low</v>
      </c>
      <c r="T313" s="15" t="str">
        <f>IF(Table1[[#This Row],[Days]]&lt;=2,"faster",IF(Table1[[#This Row],[Days]]&lt;=4,"Normal","slow"))</f>
        <v>faster</v>
      </c>
    </row>
    <row r="314" spans="1:20" x14ac:dyDescent="0.25">
      <c r="A314" s="4" t="s">
        <v>347</v>
      </c>
      <c r="B314" s="1">
        <v>44931</v>
      </c>
      <c r="C314" s="1">
        <v>44938</v>
      </c>
      <c r="D314" s="13">
        <f>Table1[[#This Row],[Shipped date]]-Table1[[#This Row],[Order Date]]</f>
        <v>7</v>
      </c>
      <c r="E314" t="s">
        <v>28</v>
      </c>
      <c r="F314" s="13" t="str">
        <f>TEXT(Table1[[#This Row],[Order Date]],"MMMM")</f>
        <v>January</v>
      </c>
      <c r="G314" s="13">
        <f t="shared" si="8"/>
        <v>2023</v>
      </c>
      <c r="H314" s="13" t="str">
        <f t="shared" si="9"/>
        <v>Q1</v>
      </c>
      <c r="I314" s="1" t="s">
        <v>14</v>
      </c>
      <c r="J314" s="7" t="s">
        <v>15</v>
      </c>
      <c r="K314" s="7" t="s">
        <v>16</v>
      </c>
      <c r="L314" t="s">
        <v>33</v>
      </c>
      <c r="M314" s="9">
        <v>700.07</v>
      </c>
      <c r="N314" s="4">
        <v>7</v>
      </c>
      <c r="O314" s="12">
        <v>0.3</v>
      </c>
      <c r="P314" s="9">
        <v>-109.88</v>
      </c>
      <c r="Q314" s="10">
        <f>Table1[[#This Row],[Profit]]/Table1[[#This Row],[Sales]]</f>
        <v>-0.15695573299812873</v>
      </c>
      <c r="R314" t="str">
        <f>IF(Table1[[#This Row],[Profit Margin]]&gt;0,"profit","loss")</f>
        <v>loss</v>
      </c>
      <c r="S314" t="str">
        <f>IF(Table1[[#This Row],[Discount]]=0,"No Discount",IF(Table1[[#This Row],[Discount]]&lt;=0.2,"low",IF(Table1[[#This Row],[Discount]]&lt;=0.3,"medium","high")))</f>
        <v>medium</v>
      </c>
      <c r="T314" s="15" t="str">
        <f>IF(Table1[[#This Row],[Days]]&lt;=2,"faster",IF(Table1[[#This Row],[Days]]&lt;=4,"Normal","slow"))</f>
        <v>slow</v>
      </c>
    </row>
    <row r="315" spans="1:20" x14ac:dyDescent="0.25">
      <c r="A315" s="4" t="s">
        <v>348</v>
      </c>
      <c r="B315" s="1">
        <v>44974</v>
      </c>
      <c r="C315" s="1">
        <v>44975</v>
      </c>
      <c r="D315" s="13">
        <f>Table1[[#This Row],[Shipped date]]-Table1[[#This Row],[Order Date]]</f>
        <v>1</v>
      </c>
      <c r="E315" t="s">
        <v>25</v>
      </c>
      <c r="F315" s="13" t="str">
        <f>TEXT(Table1[[#This Row],[Order Date]],"MMMM")</f>
        <v>February</v>
      </c>
      <c r="G315" s="13">
        <f t="shared" si="8"/>
        <v>2023</v>
      </c>
      <c r="H315" s="13" t="str">
        <f t="shared" si="9"/>
        <v>Q1</v>
      </c>
      <c r="I315" s="1" t="s">
        <v>37</v>
      </c>
      <c r="J315" s="7" t="s">
        <v>32</v>
      </c>
      <c r="K315" s="7" t="s">
        <v>16</v>
      </c>
      <c r="L315" t="s">
        <v>38</v>
      </c>
      <c r="M315" s="9">
        <v>607.04999999999995</v>
      </c>
      <c r="N315" s="4">
        <v>10</v>
      </c>
      <c r="O315" s="12">
        <v>0.3</v>
      </c>
      <c r="P315" s="9">
        <v>-128.69999999999999</v>
      </c>
      <c r="Q315" s="10">
        <f>Table1[[#This Row],[Profit]]/Table1[[#This Row],[Sales]]</f>
        <v>-0.21200889547813195</v>
      </c>
      <c r="R315" t="str">
        <f>IF(Table1[[#This Row],[Profit Margin]]&gt;0,"profit","loss")</f>
        <v>loss</v>
      </c>
      <c r="S315" t="str">
        <f>IF(Table1[[#This Row],[Discount]]=0,"No Discount",IF(Table1[[#This Row],[Discount]]&lt;=0.2,"low",IF(Table1[[#This Row],[Discount]]&lt;=0.3,"medium","high")))</f>
        <v>medium</v>
      </c>
      <c r="T315" s="15" t="str">
        <f>IF(Table1[[#This Row],[Days]]&lt;=2,"faster",IF(Table1[[#This Row],[Days]]&lt;=4,"Normal","slow"))</f>
        <v>faster</v>
      </c>
    </row>
    <row r="316" spans="1:20" x14ac:dyDescent="0.25">
      <c r="A316" s="4" t="s">
        <v>349</v>
      </c>
      <c r="B316" s="1">
        <v>44981</v>
      </c>
      <c r="C316" s="1">
        <v>44982</v>
      </c>
      <c r="D316" s="13">
        <f>Table1[[#This Row],[Shipped date]]-Table1[[#This Row],[Order Date]]</f>
        <v>1</v>
      </c>
      <c r="E316" t="s">
        <v>25</v>
      </c>
      <c r="F316" s="13" t="str">
        <f>TEXT(Table1[[#This Row],[Order Date]],"MMMM")</f>
        <v>February</v>
      </c>
      <c r="G316" s="13">
        <f t="shared" si="8"/>
        <v>2023</v>
      </c>
      <c r="H316" s="13" t="str">
        <f t="shared" si="9"/>
        <v>Q1</v>
      </c>
      <c r="I316" s="1" t="s">
        <v>37</v>
      </c>
      <c r="J316" s="7" t="s">
        <v>32</v>
      </c>
      <c r="K316" s="7" t="s">
        <v>16</v>
      </c>
      <c r="L316" t="s">
        <v>38</v>
      </c>
      <c r="M316" s="9">
        <v>910.28</v>
      </c>
      <c r="N316" s="4">
        <v>2</v>
      </c>
      <c r="O316" s="12">
        <v>0.1</v>
      </c>
      <c r="P316" s="9">
        <v>-4.09</v>
      </c>
      <c r="Q316" s="10">
        <f>Table1[[#This Row],[Profit]]/Table1[[#This Row],[Sales]]</f>
        <v>-4.4931229951223799E-3</v>
      </c>
      <c r="R316" t="str">
        <f>IF(Table1[[#This Row],[Profit Margin]]&gt;0,"profit","loss")</f>
        <v>loss</v>
      </c>
      <c r="S316" t="str">
        <f>IF(Table1[[#This Row],[Discount]]=0,"No Discount",IF(Table1[[#This Row],[Discount]]&lt;=0.2,"low",IF(Table1[[#This Row],[Discount]]&lt;=0.3,"medium","high")))</f>
        <v>low</v>
      </c>
      <c r="T316" s="15" t="str">
        <f>IF(Table1[[#This Row],[Days]]&lt;=2,"faster",IF(Table1[[#This Row],[Days]]&lt;=4,"Normal","slow"))</f>
        <v>faster</v>
      </c>
    </row>
    <row r="317" spans="1:20" x14ac:dyDescent="0.25">
      <c r="A317" s="4" t="s">
        <v>350</v>
      </c>
      <c r="B317" s="1">
        <v>45183</v>
      </c>
      <c r="C317" s="1">
        <v>45188</v>
      </c>
      <c r="D317" s="13">
        <f>Table1[[#This Row],[Shipped date]]-Table1[[#This Row],[Order Date]]</f>
        <v>5</v>
      </c>
      <c r="E317" t="s">
        <v>19</v>
      </c>
      <c r="F317" s="13" t="str">
        <f>TEXT(Table1[[#This Row],[Order Date]],"MMMM")</f>
        <v>September</v>
      </c>
      <c r="G317" s="13">
        <f t="shared" si="8"/>
        <v>2023</v>
      </c>
      <c r="H317" s="13" t="str">
        <f t="shared" si="9"/>
        <v>Q3</v>
      </c>
      <c r="I317" s="1" t="s">
        <v>14</v>
      </c>
      <c r="J317" s="7" t="s">
        <v>15</v>
      </c>
      <c r="K317" s="7" t="s">
        <v>22</v>
      </c>
      <c r="L317" t="s">
        <v>40</v>
      </c>
      <c r="M317" s="9">
        <v>435.12</v>
      </c>
      <c r="N317" s="4">
        <v>6</v>
      </c>
      <c r="O317" s="12">
        <v>0.1</v>
      </c>
      <c r="P317" s="9">
        <v>46.31</v>
      </c>
      <c r="Q317" s="10">
        <f>Table1[[#This Row],[Profit]]/Table1[[#This Row],[Sales]]</f>
        <v>0.10643041000183857</v>
      </c>
      <c r="R317" t="str">
        <f>IF(Table1[[#This Row],[Profit Margin]]&gt;0,"profit","loss")</f>
        <v>profit</v>
      </c>
      <c r="S317" t="str">
        <f>IF(Table1[[#This Row],[Discount]]=0,"No Discount",IF(Table1[[#This Row],[Discount]]&lt;=0.2,"low",IF(Table1[[#This Row],[Discount]]&lt;=0.3,"medium","high")))</f>
        <v>low</v>
      </c>
      <c r="T317" s="15" t="str">
        <f>IF(Table1[[#This Row],[Days]]&lt;=2,"faster",IF(Table1[[#This Row],[Days]]&lt;=4,"Normal","slow"))</f>
        <v>slow</v>
      </c>
    </row>
    <row r="318" spans="1:20" x14ac:dyDescent="0.25">
      <c r="A318" s="4" t="s">
        <v>351</v>
      </c>
      <c r="B318" s="1">
        <v>45017</v>
      </c>
      <c r="C318" s="1">
        <v>45024</v>
      </c>
      <c r="D318" s="13">
        <f>Table1[[#This Row],[Shipped date]]-Table1[[#This Row],[Order Date]]</f>
        <v>7</v>
      </c>
      <c r="E318" t="s">
        <v>19</v>
      </c>
      <c r="F318" s="13" t="str">
        <f>TEXT(Table1[[#This Row],[Order Date]],"MMMM")</f>
        <v>April</v>
      </c>
      <c r="G318" s="13">
        <f t="shared" si="8"/>
        <v>2023</v>
      </c>
      <c r="H318" s="13" t="str">
        <f t="shared" si="9"/>
        <v>Q2</v>
      </c>
      <c r="I318" s="1" t="s">
        <v>20</v>
      </c>
      <c r="J318" s="7" t="s">
        <v>21</v>
      </c>
      <c r="K318" s="7" t="s">
        <v>22</v>
      </c>
      <c r="L318" t="s">
        <v>23</v>
      </c>
      <c r="M318" s="9">
        <v>170.28</v>
      </c>
      <c r="N318" s="4">
        <v>3</v>
      </c>
      <c r="O318" s="12">
        <v>0</v>
      </c>
      <c r="P318" s="9">
        <v>6.77</v>
      </c>
      <c r="Q318" s="10">
        <f>Table1[[#This Row],[Profit]]/Table1[[#This Row],[Sales]]</f>
        <v>3.9758045571999058E-2</v>
      </c>
      <c r="R318" t="str">
        <f>IF(Table1[[#This Row],[Profit Margin]]&gt;0,"profit","loss")</f>
        <v>profit</v>
      </c>
      <c r="S318" t="str">
        <f>IF(Table1[[#This Row],[Discount]]=0,"No Discount",IF(Table1[[#This Row],[Discount]]&lt;=0.2,"low",IF(Table1[[#This Row],[Discount]]&lt;=0.3,"medium","high")))</f>
        <v>No Discount</v>
      </c>
      <c r="T318" s="15" t="str">
        <f>IF(Table1[[#This Row],[Days]]&lt;=2,"faster",IF(Table1[[#This Row],[Days]]&lt;=4,"Normal","slow"))</f>
        <v>slow</v>
      </c>
    </row>
    <row r="319" spans="1:20" x14ac:dyDescent="0.25">
      <c r="A319" s="4" t="s">
        <v>352</v>
      </c>
      <c r="B319" s="1">
        <v>45268</v>
      </c>
      <c r="C319" s="1">
        <v>45271</v>
      </c>
      <c r="D319" s="13">
        <f>Table1[[#This Row],[Shipped date]]-Table1[[#This Row],[Order Date]]</f>
        <v>3</v>
      </c>
      <c r="E319" t="s">
        <v>25</v>
      </c>
      <c r="F319" s="13" t="str">
        <f>TEXT(Table1[[#This Row],[Order Date]],"MMMM")</f>
        <v>December</v>
      </c>
      <c r="G319" s="13">
        <f t="shared" si="8"/>
        <v>2023</v>
      </c>
      <c r="H319" s="13" t="str">
        <f t="shared" si="9"/>
        <v>Q4</v>
      </c>
      <c r="I319" s="1" t="s">
        <v>37</v>
      </c>
      <c r="J319" s="7" t="s">
        <v>32</v>
      </c>
      <c r="K319" s="7" t="s">
        <v>16</v>
      </c>
      <c r="L319" t="s">
        <v>17</v>
      </c>
      <c r="M319" s="9">
        <v>118.78</v>
      </c>
      <c r="N319" s="4">
        <v>5</v>
      </c>
      <c r="O319" s="12">
        <v>0</v>
      </c>
      <c r="P319" s="9">
        <v>-6.85</v>
      </c>
      <c r="Q319" s="10">
        <f>Table1[[#This Row],[Profit]]/Table1[[#This Row],[Sales]]</f>
        <v>-5.7669641353763255E-2</v>
      </c>
      <c r="R319" t="str">
        <f>IF(Table1[[#This Row],[Profit Margin]]&gt;0,"profit","loss")</f>
        <v>loss</v>
      </c>
      <c r="S319" t="str">
        <f>IF(Table1[[#This Row],[Discount]]=0,"No Discount",IF(Table1[[#This Row],[Discount]]&lt;=0.2,"low",IF(Table1[[#This Row],[Discount]]&lt;=0.3,"medium","high")))</f>
        <v>No Discount</v>
      </c>
      <c r="T319" s="15" t="str">
        <f>IF(Table1[[#This Row],[Days]]&lt;=2,"faster",IF(Table1[[#This Row],[Days]]&lt;=4,"Normal","slow"))</f>
        <v>Normal</v>
      </c>
    </row>
    <row r="320" spans="1:20" x14ac:dyDescent="0.25">
      <c r="A320" s="4" t="s">
        <v>353</v>
      </c>
      <c r="B320" s="1">
        <v>45066</v>
      </c>
      <c r="C320" s="1">
        <v>45067</v>
      </c>
      <c r="D320" s="13">
        <f>Table1[[#This Row],[Shipped date]]-Table1[[#This Row],[Order Date]]</f>
        <v>1</v>
      </c>
      <c r="E320" t="s">
        <v>25</v>
      </c>
      <c r="F320" s="13" t="str">
        <f>TEXT(Table1[[#This Row],[Order Date]],"MMMM")</f>
        <v>May</v>
      </c>
      <c r="G320" s="13">
        <f t="shared" si="8"/>
        <v>2023</v>
      </c>
      <c r="H320" s="13" t="str">
        <f t="shared" si="9"/>
        <v>Q2</v>
      </c>
      <c r="I320" s="1" t="s">
        <v>14</v>
      </c>
      <c r="J320" s="7" t="s">
        <v>32</v>
      </c>
      <c r="K320" s="7" t="s">
        <v>16</v>
      </c>
      <c r="L320" t="s">
        <v>38</v>
      </c>
      <c r="M320" s="9">
        <v>874.68</v>
      </c>
      <c r="N320" s="4">
        <v>10</v>
      </c>
      <c r="O320" s="12">
        <v>0.3</v>
      </c>
      <c r="P320" s="9">
        <v>-187.78</v>
      </c>
      <c r="Q320" s="10">
        <f>Table1[[#This Row],[Profit]]/Table1[[#This Row],[Sales]]</f>
        <v>-0.21468422737458273</v>
      </c>
      <c r="R320" t="str">
        <f>IF(Table1[[#This Row],[Profit Margin]]&gt;0,"profit","loss")</f>
        <v>loss</v>
      </c>
      <c r="S320" t="str">
        <f>IF(Table1[[#This Row],[Discount]]=0,"No Discount",IF(Table1[[#This Row],[Discount]]&lt;=0.2,"low",IF(Table1[[#This Row],[Discount]]&lt;=0.3,"medium","high")))</f>
        <v>medium</v>
      </c>
      <c r="T320" s="15" t="str">
        <f>IF(Table1[[#This Row],[Days]]&lt;=2,"faster",IF(Table1[[#This Row],[Days]]&lt;=4,"Normal","slow"))</f>
        <v>faster</v>
      </c>
    </row>
    <row r="321" spans="1:20" x14ac:dyDescent="0.25">
      <c r="A321" s="4" t="s">
        <v>354</v>
      </c>
      <c r="B321" s="1">
        <v>45159</v>
      </c>
      <c r="C321" s="1">
        <v>45164</v>
      </c>
      <c r="D321" s="13">
        <f>Table1[[#This Row],[Shipped date]]-Table1[[#This Row],[Order Date]]</f>
        <v>5</v>
      </c>
      <c r="E321" t="s">
        <v>13</v>
      </c>
      <c r="F321" s="13" t="str">
        <f>TEXT(Table1[[#This Row],[Order Date]],"MMMM")</f>
        <v>August</v>
      </c>
      <c r="G321" s="13">
        <f t="shared" si="8"/>
        <v>2023</v>
      </c>
      <c r="H321" s="13" t="str">
        <f t="shared" si="9"/>
        <v>Q3</v>
      </c>
      <c r="I321" s="1" t="s">
        <v>14</v>
      </c>
      <c r="J321" s="7" t="s">
        <v>21</v>
      </c>
      <c r="K321" s="7" t="s">
        <v>22</v>
      </c>
      <c r="L321" t="s">
        <v>35</v>
      </c>
      <c r="M321" s="9">
        <v>920.38</v>
      </c>
      <c r="N321" s="4">
        <v>4</v>
      </c>
      <c r="O321" s="12">
        <v>0</v>
      </c>
      <c r="P321" s="9">
        <v>136.61000000000001</v>
      </c>
      <c r="Q321" s="10">
        <f>Table1[[#This Row],[Profit]]/Table1[[#This Row],[Sales]]</f>
        <v>0.14842782329038007</v>
      </c>
      <c r="R321" t="str">
        <f>IF(Table1[[#This Row],[Profit Margin]]&gt;0,"profit","loss")</f>
        <v>profit</v>
      </c>
      <c r="S321" t="str">
        <f>IF(Table1[[#This Row],[Discount]]=0,"No Discount",IF(Table1[[#This Row],[Discount]]&lt;=0.2,"low",IF(Table1[[#This Row],[Discount]]&lt;=0.3,"medium","high")))</f>
        <v>No Discount</v>
      </c>
      <c r="T321" s="15" t="str">
        <f>IF(Table1[[#This Row],[Days]]&lt;=2,"faster",IF(Table1[[#This Row],[Days]]&lt;=4,"Normal","slow"))</f>
        <v>slow</v>
      </c>
    </row>
    <row r="322" spans="1:20" x14ac:dyDescent="0.25">
      <c r="A322" s="4" t="s">
        <v>355</v>
      </c>
      <c r="B322" s="1">
        <v>45087</v>
      </c>
      <c r="C322" s="1">
        <v>45088</v>
      </c>
      <c r="D322" s="13">
        <f>Table1[[#This Row],[Shipped date]]-Table1[[#This Row],[Order Date]]</f>
        <v>1</v>
      </c>
      <c r="E322" t="s">
        <v>13</v>
      </c>
      <c r="F322" s="13" t="str">
        <f>TEXT(Table1[[#This Row],[Order Date]],"MMMM")</f>
        <v>June</v>
      </c>
      <c r="G322" s="13">
        <f t="shared" si="8"/>
        <v>2023</v>
      </c>
      <c r="H322" s="13" t="str">
        <f t="shared" si="9"/>
        <v>Q2</v>
      </c>
      <c r="I322" s="1" t="s">
        <v>37</v>
      </c>
      <c r="J322" s="7" t="s">
        <v>32</v>
      </c>
      <c r="K322" s="7" t="s">
        <v>16</v>
      </c>
      <c r="L322" t="s">
        <v>33</v>
      </c>
      <c r="M322" s="9">
        <v>713.09</v>
      </c>
      <c r="N322" s="4">
        <v>9</v>
      </c>
      <c r="O322" s="12">
        <v>0.1</v>
      </c>
      <c r="P322" s="9">
        <v>33.99</v>
      </c>
      <c r="Q322" s="10">
        <f>Table1[[#This Row],[Profit]]/Table1[[#This Row],[Sales]]</f>
        <v>4.7665792536706449E-2</v>
      </c>
      <c r="R322" t="str">
        <f>IF(Table1[[#This Row],[Profit Margin]]&gt;0,"profit","loss")</f>
        <v>profit</v>
      </c>
      <c r="S322" t="str">
        <f>IF(Table1[[#This Row],[Discount]]=0,"No Discount",IF(Table1[[#This Row],[Discount]]&lt;=0.2,"low",IF(Table1[[#This Row],[Discount]]&lt;=0.3,"medium","high")))</f>
        <v>low</v>
      </c>
      <c r="T322" s="15" t="str">
        <f>IF(Table1[[#This Row],[Days]]&lt;=2,"faster",IF(Table1[[#This Row],[Days]]&lt;=4,"Normal","slow"))</f>
        <v>faster</v>
      </c>
    </row>
    <row r="323" spans="1:20" x14ac:dyDescent="0.25">
      <c r="A323" s="4" t="s">
        <v>356</v>
      </c>
      <c r="B323" s="1">
        <v>44927</v>
      </c>
      <c r="C323" s="1">
        <v>44934</v>
      </c>
      <c r="D323" s="13">
        <f>Table1[[#This Row],[Shipped date]]-Table1[[#This Row],[Order Date]]</f>
        <v>7</v>
      </c>
      <c r="E323" t="s">
        <v>13</v>
      </c>
      <c r="F323" s="13" t="str">
        <f>TEXT(Table1[[#This Row],[Order Date]],"MMMM")</f>
        <v>January</v>
      </c>
      <c r="G323" s="13">
        <f t="shared" ref="G323:G386" si="10">YEAR(B323)</f>
        <v>2023</v>
      </c>
      <c r="H323" s="13" t="str">
        <f t="shared" ref="H323:H386" si="11">"Q" &amp;ROUNDUP(MONTH(B323)/3,0)</f>
        <v>Q1</v>
      </c>
      <c r="I323" s="1" t="s">
        <v>20</v>
      </c>
      <c r="J323" s="7" t="s">
        <v>32</v>
      </c>
      <c r="K323" s="7" t="s">
        <v>22</v>
      </c>
      <c r="L323" t="s">
        <v>40</v>
      </c>
      <c r="M323" s="9">
        <v>386.95</v>
      </c>
      <c r="N323" s="4">
        <v>1</v>
      </c>
      <c r="O323" s="12">
        <v>0</v>
      </c>
      <c r="P323" s="9">
        <v>48.38</v>
      </c>
      <c r="Q323" s="10">
        <f>Table1[[#This Row],[Profit]]/Table1[[#This Row],[Sales]]</f>
        <v>0.12502907352371109</v>
      </c>
      <c r="R323" t="str">
        <f>IF(Table1[[#This Row],[Profit Margin]]&gt;0,"profit","loss")</f>
        <v>profit</v>
      </c>
      <c r="S323" t="str">
        <f>IF(Table1[[#This Row],[Discount]]=0,"No Discount",IF(Table1[[#This Row],[Discount]]&lt;=0.2,"low",IF(Table1[[#This Row],[Discount]]&lt;=0.3,"medium","high")))</f>
        <v>No Discount</v>
      </c>
      <c r="T323" s="15" t="str">
        <f>IF(Table1[[#This Row],[Days]]&lt;=2,"faster",IF(Table1[[#This Row],[Days]]&lt;=4,"Normal","slow"))</f>
        <v>slow</v>
      </c>
    </row>
    <row r="324" spans="1:20" x14ac:dyDescent="0.25">
      <c r="A324" s="4" t="s">
        <v>357</v>
      </c>
      <c r="B324" s="1">
        <v>44952</v>
      </c>
      <c r="C324" s="1">
        <v>44957</v>
      </c>
      <c r="D324" s="13">
        <f>Table1[[#This Row],[Shipped date]]-Table1[[#This Row],[Order Date]]</f>
        <v>5</v>
      </c>
      <c r="E324" t="s">
        <v>19</v>
      </c>
      <c r="F324" s="13" t="str">
        <f>TEXT(Table1[[#This Row],[Order Date]],"MMMM")</f>
        <v>January</v>
      </c>
      <c r="G324" s="13">
        <f t="shared" si="10"/>
        <v>2023</v>
      </c>
      <c r="H324" s="13" t="str">
        <f t="shared" si="11"/>
        <v>Q1</v>
      </c>
      <c r="I324" s="1" t="s">
        <v>20</v>
      </c>
      <c r="J324" s="7" t="s">
        <v>21</v>
      </c>
      <c r="K324" s="7" t="s">
        <v>16</v>
      </c>
      <c r="L324" t="s">
        <v>38</v>
      </c>
      <c r="M324" s="9">
        <v>741.72</v>
      </c>
      <c r="N324" s="4">
        <v>2</v>
      </c>
      <c r="O324" s="12">
        <v>0.3</v>
      </c>
      <c r="P324" s="9">
        <v>-109.51</v>
      </c>
      <c r="Q324" s="10">
        <f>Table1[[#This Row],[Profit]]/Table1[[#This Row],[Sales]]</f>
        <v>-0.14764331553686028</v>
      </c>
      <c r="R324" t="str">
        <f>IF(Table1[[#This Row],[Profit Margin]]&gt;0,"profit","loss")</f>
        <v>loss</v>
      </c>
      <c r="S324" t="str">
        <f>IF(Table1[[#This Row],[Discount]]=0,"No Discount",IF(Table1[[#This Row],[Discount]]&lt;=0.2,"low",IF(Table1[[#This Row],[Discount]]&lt;=0.3,"medium","high")))</f>
        <v>medium</v>
      </c>
      <c r="T324" s="15" t="str">
        <f>IF(Table1[[#This Row],[Days]]&lt;=2,"faster",IF(Table1[[#This Row],[Days]]&lt;=4,"Normal","slow"))</f>
        <v>slow</v>
      </c>
    </row>
    <row r="325" spans="1:20" x14ac:dyDescent="0.25">
      <c r="A325" s="4" t="s">
        <v>358</v>
      </c>
      <c r="B325" s="1">
        <v>44990</v>
      </c>
      <c r="C325" s="1">
        <v>44994</v>
      </c>
      <c r="D325" s="13">
        <f>Table1[[#This Row],[Shipped date]]-Table1[[#This Row],[Order Date]]</f>
        <v>4</v>
      </c>
      <c r="E325" t="s">
        <v>28</v>
      </c>
      <c r="F325" s="13" t="str">
        <f>TEXT(Table1[[#This Row],[Order Date]],"MMMM")</f>
        <v>March</v>
      </c>
      <c r="G325" s="13">
        <f t="shared" si="10"/>
        <v>2023</v>
      </c>
      <c r="H325" s="13" t="str">
        <f t="shared" si="11"/>
        <v>Q1</v>
      </c>
      <c r="I325" s="1" t="s">
        <v>20</v>
      </c>
      <c r="J325" s="7" t="s">
        <v>32</v>
      </c>
      <c r="K325" s="7" t="s">
        <v>16</v>
      </c>
      <c r="L325" t="s">
        <v>38</v>
      </c>
      <c r="M325" s="9">
        <v>912.47</v>
      </c>
      <c r="N325" s="4">
        <v>1</v>
      </c>
      <c r="O325" s="12">
        <v>0</v>
      </c>
      <c r="P325" s="9">
        <v>79.17</v>
      </c>
      <c r="Q325" s="10">
        <f>Table1[[#This Row],[Profit]]/Table1[[#This Row],[Sales]]</f>
        <v>8.676449636700384E-2</v>
      </c>
      <c r="R325" t="str">
        <f>IF(Table1[[#This Row],[Profit Margin]]&gt;0,"profit","loss")</f>
        <v>profit</v>
      </c>
      <c r="S325" t="str">
        <f>IF(Table1[[#This Row],[Discount]]=0,"No Discount",IF(Table1[[#This Row],[Discount]]&lt;=0.2,"low",IF(Table1[[#This Row],[Discount]]&lt;=0.3,"medium","high")))</f>
        <v>No Discount</v>
      </c>
      <c r="T325" s="15" t="str">
        <f>IF(Table1[[#This Row],[Days]]&lt;=2,"faster",IF(Table1[[#This Row],[Days]]&lt;=4,"Normal","slow"))</f>
        <v>Normal</v>
      </c>
    </row>
    <row r="326" spans="1:20" x14ac:dyDescent="0.25">
      <c r="A326" s="4" t="s">
        <v>359</v>
      </c>
      <c r="B326" s="1">
        <v>45159</v>
      </c>
      <c r="C326" s="1">
        <v>45162</v>
      </c>
      <c r="D326" s="13">
        <f>Table1[[#This Row],[Shipped date]]-Table1[[#This Row],[Order Date]]</f>
        <v>3</v>
      </c>
      <c r="E326" t="s">
        <v>19</v>
      </c>
      <c r="F326" s="13" t="str">
        <f>TEXT(Table1[[#This Row],[Order Date]],"MMMM")</f>
        <v>August</v>
      </c>
      <c r="G326" s="13">
        <f t="shared" si="10"/>
        <v>2023</v>
      </c>
      <c r="H326" s="13" t="str">
        <f t="shared" si="11"/>
        <v>Q3</v>
      </c>
      <c r="I326" s="1" t="s">
        <v>20</v>
      </c>
      <c r="J326" s="7" t="s">
        <v>15</v>
      </c>
      <c r="K326" s="7" t="s">
        <v>16</v>
      </c>
      <c r="L326" t="s">
        <v>33</v>
      </c>
      <c r="M326" s="9">
        <v>985.14</v>
      </c>
      <c r="N326" s="4">
        <v>9</v>
      </c>
      <c r="O326" s="12">
        <v>0.1</v>
      </c>
      <c r="P326" s="9">
        <v>-6.96</v>
      </c>
      <c r="Q326" s="10">
        <f>Table1[[#This Row],[Profit]]/Table1[[#This Row],[Sales]]</f>
        <v>-7.064985687313478E-3</v>
      </c>
      <c r="R326" t="str">
        <f>IF(Table1[[#This Row],[Profit Margin]]&gt;0,"profit","loss")</f>
        <v>loss</v>
      </c>
      <c r="S326" t="str">
        <f>IF(Table1[[#This Row],[Discount]]=0,"No Discount",IF(Table1[[#This Row],[Discount]]&lt;=0.2,"low",IF(Table1[[#This Row],[Discount]]&lt;=0.3,"medium","high")))</f>
        <v>low</v>
      </c>
      <c r="T326" s="15" t="str">
        <f>IF(Table1[[#This Row],[Days]]&lt;=2,"faster",IF(Table1[[#This Row],[Days]]&lt;=4,"Normal","slow"))</f>
        <v>Normal</v>
      </c>
    </row>
    <row r="327" spans="1:20" x14ac:dyDescent="0.25">
      <c r="A327" s="4" t="s">
        <v>360</v>
      </c>
      <c r="B327" s="1">
        <v>45261</v>
      </c>
      <c r="C327" s="1">
        <v>45263</v>
      </c>
      <c r="D327" s="13">
        <f>Table1[[#This Row],[Shipped date]]-Table1[[#This Row],[Order Date]]</f>
        <v>2</v>
      </c>
      <c r="E327" t="s">
        <v>19</v>
      </c>
      <c r="F327" s="13" t="str">
        <f>TEXT(Table1[[#This Row],[Order Date]],"MMMM")</f>
        <v>December</v>
      </c>
      <c r="G327" s="13">
        <f t="shared" si="10"/>
        <v>2023</v>
      </c>
      <c r="H327" s="13" t="str">
        <f t="shared" si="11"/>
        <v>Q4</v>
      </c>
      <c r="I327" s="1" t="s">
        <v>37</v>
      </c>
      <c r="J327" s="7" t="s">
        <v>32</v>
      </c>
      <c r="K327" s="7" t="s">
        <v>29</v>
      </c>
      <c r="L327" t="s">
        <v>45</v>
      </c>
      <c r="M327" s="9">
        <v>840.74</v>
      </c>
      <c r="N327" s="4">
        <v>2</v>
      </c>
      <c r="O327" s="12">
        <v>0</v>
      </c>
      <c r="P327" s="9">
        <v>124.97</v>
      </c>
      <c r="Q327" s="10">
        <f>Table1[[#This Row],[Profit]]/Table1[[#This Row],[Sales]]</f>
        <v>0.14864286224040726</v>
      </c>
      <c r="R327" t="str">
        <f>IF(Table1[[#This Row],[Profit Margin]]&gt;0,"profit","loss")</f>
        <v>profit</v>
      </c>
      <c r="S327" t="str">
        <f>IF(Table1[[#This Row],[Discount]]=0,"No Discount",IF(Table1[[#This Row],[Discount]]&lt;=0.2,"low",IF(Table1[[#This Row],[Discount]]&lt;=0.3,"medium","high")))</f>
        <v>No Discount</v>
      </c>
      <c r="T327" s="15" t="str">
        <f>IF(Table1[[#This Row],[Days]]&lt;=2,"faster",IF(Table1[[#This Row],[Days]]&lt;=4,"Normal","slow"))</f>
        <v>faster</v>
      </c>
    </row>
    <row r="328" spans="1:20" x14ac:dyDescent="0.25">
      <c r="A328" s="4" t="s">
        <v>361</v>
      </c>
      <c r="B328" s="1">
        <v>45234</v>
      </c>
      <c r="C328" s="1">
        <v>45236</v>
      </c>
      <c r="D328" s="13">
        <f>Table1[[#This Row],[Shipped date]]-Table1[[#This Row],[Order Date]]</f>
        <v>2</v>
      </c>
      <c r="E328" t="s">
        <v>13</v>
      </c>
      <c r="F328" s="13" t="str">
        <f>TEXT(Table1[[#This Row],[Order Date]],"MMMM")</f>
        <v>November</v>
      </c>
      <c r="G328" s="13">
        <f t="shared" si="10"/>
        <v>2023</v>
      </c>
      <c r="H328" s="13" t="str">
        <f t="shared" si="11"/>
        <v>Q4</v>
      </c>
      <c r="I328" s="1" t="s">
        <v>37</v>
      </c>
      <c r="J328" s="7" t="s">
        <v>26</v>
      </c>
      <c r="K328" s="7" t="s">
        <v>29</v>
      </c>
      <c r="L328" t="s">
        <v>30</v>
      </c>
      <c r="M328" s="9">
        <v>528.46</v>
      </c>
      <c r="N328" s="4">
        <v>9</v>
      </c>
      <c r="O328" s="12">
        <v>0.3</v>
      </c>
      <c r="P328" s="9">
        <v>-83.14</v>
      </c>
      <c r="Q328" s="10">
        <f>Table1[[#This Row],[Profit]]/Table1[[#This Row],[Sales]]</f>
        <v>-0.1573250577148696</v>
      </c>
      <c r="R328" t="str">
        <f>IF(Table1[[#This Row],[Profit Margin]]&gt;0,"profit","loss")</f>
        <v>loss</v>
      </c>
      <c r="S328" t="str">
        <f>IF(Table1[[#This Row],[Discount]]=0,"No Discount",IF(Table1[[#This Row],[Discount]]&lt;=0.2,"low",IF(Table1[[#This Row],[Discount]]&lt;=0.3,"medium","high")))</f>
        <v>medium</v>
      </c>
      <c r="T328" s="15" t="str">
        <f>IF(Table1[[#This Row],[Days]]&lt;=2,"faster",IF(Table1[[#This Row],[Days]]&lt;=4,"Normal","slow"))</f>
        <v>faster</v>
      </c>
    </row>
    <row r="329" spans="1:20" x14ac:dyDescent="0.25">
      <c r="A329" s="4" t="s">
        <v>362</v>
      </c>
      <c r="B329" s="1">
        <v>45079</v>
      </c>
      <c r="C329" s="1">
        <v>45086</v>
      </c>
      <c r="D329" s="13">
        <f>Table1[[#This Row],[Shipped date]]-Table1[[#This Row],[Order Date]]</f>
        <v>7</v>
      </c>
      <c r="E329" t="s">
        <v>19</v>
      </c>
      <c r="F329" s="13" t="str">
        <f>TEXT(Table1[[#This Row],[Order Date]],"MMMM")</f>
        <v>June</v>
      </c>
      <c r="G329" s="13">
        <f t="shared" si="10"/>
        <v>2023</v>
      </c>
      <c r="H329" s="13" t="str">
        <f t="shared" si="11"/>
        <v>Q2</v>
      </c>
      <c r="I329" s="1" t="s">
        <v>14</v>
      </c>
      <c r="J329" s="7" t="s">
        <v>26</v>
      </c>
      <c r="K329" s="7" t="s">
        <v>29</v>
      </c>
      <c r="L329" t="s">
        <v>43</v>
      </c>
      <c r="M329" s="9">
        <v>391.72</v>
      </c>
      <c r="N329" s="4">
        <v>7</v>
      </c>
      <c r="O329" s="12">
        <v>0</v>
      </c>
      <c r="P329" s="9">
        <v>42.64</v>
      </c>
      <c r="Q329" s="10">
        <f>Table1[[#This Row],[Profit]]/Table1[[#This Row],[Sales]]</f>
        <v>0.10885326253446338</v>
      </c>
      <c r="R329" t="str">
        <f>IF(Table1[[#This Row],[Profit Margin]]&gt;0,"profit","loss")</f>
        <v>profit</v>
      </c>
      <c r="S329" t="str">
        <f>IF(Table1[[#This Row],[Discount]]=0,"No Discount",IF(Table1[[#This Row],[Discount]]&lt;=0.2,"low",IF(Table1[[#This Row],[Discount]]&lt;=0.3,"medium","high")))</f>
        <v>No Discount</v>
      </c>
      <c r="T329" s="15" t="str">
        <f>IF(Table1[[#This Row],[Days]]&lt;=2,"faster",IF(Table1[[#This Row],[Days]]&lt;=4,"Normal","slow"))</f>
        <v>slow</v>
      </c>
    </row>
    <row r="330" spans="1:20" x14ac:dyDescent="0.25">
      <c r="A330" s="4" t="s">
        <v>363</v>
      </c>
      <c r="B330" s="1">
        <v>45287</v>
      </c>
      <c r="C330" s="1">
        <v>45293</v>
      </c>
      <c r="D330" s="13">
        <f>Table1[[#This Row],[Shipped date]]-Table1[[#This Row],[Order Date]]</f>
        <v>6</v>
      </c>
      <c r="E330" t="s">
        <v>19</v>
      </c>
      <c r="F330" s="13" t="str">
        <f>TEXT(Table1[[#This Row],[Order Date]],"MMMM")</f>
        <v>December</v>
      </c>
      <c r="G330" s="13">
        <f t="shared" si="10"/>
        <v>2023</v>
      </c>
      <c r="H330" s="13" t="str">
        <f t="shared" si="11"/>
        <v>Q4</v>
      </c>
      <c r="I330" s="1" t="s">
        <v>20</v>
      </c>
      <c r="J330" s="7" t="s">
        <v>21</v>
      </c>
      <c r="K330" s="7" t="s">
        <v>16</v>
      </c>
      <c r="L330" t="s">
        <v>17</v>
      </c>
      <c r="M330" s="9">
        <v>806.8</v>
      </c>
      <c r="N330" s="4">
        <v>2</v>
      </c>
      <c r="O330" s="12">
        <v>0</v>
      </c>
      <c r="P330" s="9">
        <v>102.94</v>
      </c>
      <c r="Q330" s="10">
        <f>Table1[[#This Row],[Profit]]/Table1[[#This Row],[Sales]]</f>
        <v>0.12759048091224592</v>
      </c>
      <c r="R330" t="str">
        <f>IF(Table1[[#This Row],[Profit Margin]]&gt;0,"profit","loss")</f>
        <v>profit</v>
      </c>
      <c r="S330" t="str">
        <f>IF(Table1[[#This Row],[Discount]]=0,"No Discount",IF(Table1[[#This Row],[Discount]]&lt;=0.2,"low",IF(Table1[[#This Row],[Discount]]&lt;=0.3,"medium","high")))</f>
        <v>No Discount</v>
      </c>
      <c r="T330" s="15" t="str">
        <f>IF(Table1[[#This Row],[Days]]&lt;=2,"faster",IF(Table1[[#This Row],[Days]]&lt;=4,"Normal","slow"))</f>
        <v>slow</v>
      </c>
    </row>
    <row r="331" spans="1:20" x14ac:dyDescent="0.25">
      <c r="A331" s="4" t="s">
        <v>364</v>
      </c>
      <c r="B331" s="1">
        <v>45085</v>
      </c>
      <c r="C331" s="1">
        <v>45088</v>
      </c>
      <c r="D331" s="13">
        <f>Table1[[#This Row],[Shipped date]]-Table1[[#This Row],[Order Date]]</f>
        <v>3</v>
      </c>
      <c r="E331" t="s">
        <v>25</v>
      </c>
      <c r="F331" s="13" t="str">
        <f>TEXT(Table1[[#This Row],[Order Date]],"MMMM")</f>
        <v>June</v>
      </c>
      <c r="G331" s="13">
        <f t="shared" si="10"/>
        <v>2023</v>
      </c>
      <c r="H331" s="13" t="str">
        <f t="shared" si="11"/>
        <v>Q2</v>
      </c>
      <c r="I331" s="1" t="s">
        <v>14</v>
      </c>
      <c r="J331" s="7" t="s">
        <v>15</v>
      </c>
      <c r="K331" s="7" t="s">
        <v>16</v>
      </c>
      <c r="L331" t="s">
        <v>33</v>
      </c>
      <c r="M331" s="9">
        <v>131.97999999999999</v>
      </c>
      <c r="N331" s="4">
        <v>3</v>
      </c>
      <c r="O331" s="12">
        <v>0.3</v>
      </c>
      <c r="P331" s="9">
        <v>-8.7799999999999994</v>
      </c>
      <c r="Q331" s="10">
        <f>Table1[[#This Row],[Profit]]/Table1[[#This Row],[Sales]]</f>
        <v>-6.6525231095620543E-2</v>
      </c>
      <c r="R331" t="str">
        <f>IF(Table1[[#This Row],[Profit Margin]]&gt;0,"profit","loss")</f>
        <v>loss</v>
      </c>
      <c r="S331" t="str">
        <f>IF(Table1[[#This Row],[Discount]]=0,"No Discount",IF(Table1[[#This Row],[Discount]]&lt;=0.2,"low",IF(Table1[[#This Row],[Discount]]&lt;=0.3,"medium","high")))</f>
        <v>medium</v>
      </c>
      <c r="T331" s="15" t="str">
        <f>IF(Table1[[#This Row],[Days]]&lt;=2,"faster",IF(Table1[[#This Row],[Days]]&lt;=4,"Normal","slow"))</f>
        <v>Normal</v>
      </c>
    </row>
    <row r="332" spans="1:20" x14ac:dyDescent="0.25">
      <c r="A332" s="4" t="s">
        <v>365</v>
      </c>
      <c r="B332" s="1">
        <v>44968</v>
      </c>
      <c r="C332" s="1">
        <v>44975</v>
      </c>
      <c r="D332" s="13">
        <f>Table1[[#This Row],[Shipped date]]-Table1[[#This Row],[Order Date]]</f>
        <v>7</v>
      </c>
      <c r="E332" t="s">
        <v>19</v>
      </c>
      <c r="F332" s="13" t="str">
        <f>TEXT(Table1[[#This Row],[Order Date]],"MMMM")</f>
        <v>February</v>
      </c>
      <c r="G332" s="13">
        <f t="shared" si="10"/>
        <v>2023</v>
      </c>
      <c r="H332" s="13" t="str">
        <f t="shared" si="11"/>
        <v>Q1</v>
      </c>
      <c r="I332" s="1" t="s">
        <v>37</v>
      </c>
      <c r="J332" s="7" t="s">
        <v>26</v>
      </c>
      <c r="K332" s="7" t="s">
        <v>16</v>
      </c>
      <c r="L332" t="s">
        <v>33</v>
      </c>
      <c r="M332" s="9">
        <v>921.46</v>
      </c>
      <c r="N332" s="4">
        <v>1</v>
      </c>
      <c r="O332" s="12">
        <v>0.1</v>
      </c>
      <c r="P332" s="9">
        <v>12.6</v>
      </c>
      <c r="Q332" s="10">
        <f>Table1[[#This Row],[Profit]]/Table1[[#This Row],[Sales]]</f>
        <v>1.3673952206281335E-2</v>
      </c>
      <c r="R332" t="str">
        <f>IF(Table1[[#This Row],[Profit Margin]]&gt;0,"profit","loss")</f>
        <v>profit</v>
      </c>
      <c r="S332" t="str">
        <f>IF(Table1[[#This Row],[Discount]]=0,"No Discount",IF(Table1[[#This Row],[Discount]]&lt;=0.2,"low",IF(Table1[[#This Row],[Discount]]&lt;=0.3,"medium","high")))</f>
        <v>low</v>
      </c>
      <c r="T332" s="15" t="str">
        <f>IF(Table1[[#This Row],[Days]]&lt;=2,"faster",IF(Table1[[#This Row],[Days]]&lt;=4,"Normal","slow"))</f>
        <v>slow</v>
      </c>
    </row>
    <row r="333" spans="1:20" x14ac:dyDescent="0.25">
      <c r="A333" s="4" t="s">
        <v>366</v>
      </c>
      <c r="B333" s="1">
        <v>45291</v>
      </c>
      <c r="C333" s="1">
        <v>45293</v>
      </c>
      <c r="D333" s="13">
        <f>Table1[[#This Row],[Shipped date]]-Table1[[#This Row],[Order Date]]</f>
        <v>2</v>
      </c>
      <c r="E333" t="s">
        <v>19</v>
      </c>
      <c r="F333" s="13" t="str">
        <f>TEXT(Table1[[#This Row],[Order Date]],"MMMM")</f>
        <v>December</v>
      </c>
      <c r="G333" s="13">
        <f t="shared" si="10"/>
        <v>2023</v>
      </c>
      <c r="H333" s="13" t="str">
        <f t="shared" si="11"/>
        <v>Q4</v>
      </c>
      <c r="I333" s="1" t="s">
        <v>37</v>
      </c>
      <c r="J333" s="7" t="s">
        <v>15</v>
      </c>
      <c r="K333" s="7" t="s">
        <v>16</v>
      </c>
      <c r="L333" t="s">
        <v>38</v>
      </c>
      <c r="M333" s="9">
        <v>491.22</v>
      </c>
      <c r="N333" s="4">
        <v>4</v>
      </c>
      <c r="O333" s="12">
        <v>0.2</v>
      </c>
      <c r="P333" s="9">
        <v>-37.47</v>
      </c>
      <c r="Q333" s="10">
        <f>Table1[[#This Row],[Profit]]/Table1[[#This Row],[Sales]]</f>
        <v>-7.6279467448393784E-2</v>
      </c>
      <c r="R333" t="str">
        <f>IF(Table1[[#This Row],[Profit Margin]]&gt;0,"profit","loss")</f>
        <v>loss</v>
      </c>
      <c r="S333" t="str">
        <f>IF(Table1[[#This Row],[Discount]]=0,"No Discount",IF(Table1[[#This Row],[Discount]]&lt;=0.2,"low",IF(Table1[[#This Row],[Discount]]&lt;=0.3,"medium","high")))</f>
        <v>low</v>
      </c>
      <c r="T333" s="15" t="str">
        <f>IF(Table1[[#This Row],[Days]]&lt;=2,"faster",IF(Table1[[#This Row],[Days]]&lt;=4,"Normal","slow"))</f>
        <v>faster</v>
      </c>
    </row>
    <row r="334" spans="1:20" x14ac:dyDescent="0.25">
      <c r="A334" s="4" t="s">
        <v>367</v>
      </c>
      <c r="B334" s="1">
        <v>45053</v>
      </c>
      <c r="C334" s="1">
        <v>45060</v>
      </c>
      <c r="D334" s="13">
        <f>Table1[[#This Row],[Shipped date]]-Table1[[#This Row],[Order Date]]</f>
        <v>7</v>
      </c>
      <c r="E334" t="s">
        <v>25</v>
      </c>
      <c r="F334" s="13" t="str">
        <f>TEXT(Table1[[#This Row],[Order Date]],"MMMM")</f>
        <v>May</v>
      </c>
      <c r="G334" s="13">
        <f t="shared" si="10"/>
        <v>2023</v>
      </c>
      <c r="H334" s="13" t="str">
        <f t="shared" si="11"/>
        <v>Q2</v>
      </c>
      <c r="I334" s="1" t="s">
        <v>37</v>
      </c>
      <c r="J334" s="7" t="s">
        <v>26</v>
      </c>
      <c r="K334" s="7" t="s">
        <v>16</v>
      </c>
      <c r="L334" t="s">
        <v>33</v>
      </c>
      <c r="M334" s="9">
        <v>240.11</v>
      </c>
      <c r="N334" s="4">
        <v>5</v>
      </c>
      <c r="O334" s="12">
        <v>0.3</v>
      </c>
      <c r="P334" s="9">
        <v>-4.13</v>
      </c>
      <c r="Q334" s="10">
        <f>Table1[[#This Row],[Profit]]/Table1[[#This Row],[Sales]]</f>
        <v>-1.7200449793844486E-2</v>
      </c>
      <c r="R334" t="str">
        <f>IF(Table1[[#This Row],[Profit Margin]]&gt;0,"profit","loss")</f>
        <v>loss</v>
      </c>
      <c r="S334" t="str">
        <f>IF(Table1[[#This Row],[Discount]]=0,"No Discount",IF(Table1[[#This Row],[Discount]]&lt;=0.2,"low",IF(Table1[[#This Row],[Discount]]&lt;=0.3,"medium","high")))</f>
        <v>medium</v>
      </c>
      <c r="T334" s="15" t="str">
        <f>IF(Table1[[#This Row],[Days]]&lt;=2,"faster",IF(Table1[[#This Row],[Days]]&lt;=4,"Normal","slow"))</f>
        <v>slow</v>
      </c>
    </row>
    <row r="335" spans="1:20" x14ac:dyDescent="0.25">
      <c r="A335" s="4" t="s">
        <v>368</v>
      </c>
      <c r="B335" s="1">
        <v>44942</v>
      </c>
      <c r="C335" s="1">
        <v>44944</v>
      </c>
      <c r="D335" s="13">
        <f>Table1[[#This Row],[Shipped date]]-Table1[[#This Row],[Order Date]]</f>
        <v>2</v>
      </c>
      <c r="E335" t="s">
        <v>19</v>
      </c>
      <c r="F335" s="13" t="str">
        <f>TEXT(Table1[[#This Row],[Order Date]],"MMMM")</f>
        <v>January</v>
      </c>
      <c r="G335" s="13">
        <f t="shared" si="10"/>
        <v>2023</v>
      </c>
      <c r="H335" s="13" t="str">
        <f t="shared" si="11"/>
        <v>Q1</v>
      </c>
      <c r="I335" s="1" t="s">
        <v>14</v>
      </c>
      <c r="J335" s="7" t="s">
        <v>32</v>
      </c>
      <c r="K335" s="7" t="s">
        <v>22</v>
      </c>
      <c r="L335" t="s">
        <v>23</v>
      </c>
      <c r="M335" s="9">
        <v>263.26</v>
      </c>
      <c r="N335" s="4">
        <v>4</v>
      </c>
      <c r="O335" s="12">
        <v>0</v>
      </c>
      <c r="P335" s="9">
        <v>41.21</v>
      </c>
      <c r="Q335" s="10">
        <f>Table1[[#This Row],[Profit]]/Table1[[#This Row],[Sales]]</f>
        <v>0.15653726354174582</v>
      </c>
      <c r="R335" t="str">
        <f>IF(Table1[[#This Row],[Profit Margin]]&gt;0,"profit","loss")</f>
        <v>profit</v>
      </c>
      <c r="S335" t="str">
        <f>IF(Table1[[#This Row],[Discount]]=0,"No Discount",IF(Table1[[#This Row],[Discount]]&lt;=0.2,"low",IF(Table1[[#This Row],[Discount]]&lt;=0.3,"medium","high")))</f>
        <v>No Discount</v>
      </c>
      <c r="T335" s="15" t="str">
        <f>IF(Table1[[#This Row],[Days]]&lt;=2,"faster",IF(Table1[[#This Row],[Days]]&lt;=4,"Normal","slow"))</f>
        <v>faster</v>
      </c>
    </row>
    <row r="336" spans="1:20" x14ac:dyDescent="0.25">
      <c r="A336" s="4" t="s">
        <v>369</v>
      </c>
      <c r="B336" s="1">
        <v>45248</v>
      </c>
      <c r="C336" s="1">
        <v>45255</v>
      </c>
      <c r="D336" s="13">
        <f>Table1[[#This Row],[Shipped date]]-Table1[[#This Row],[Order Date]]</f>
        <v>7</v>
      </c>
      <c r="E336" t="s">
        <v>25</v>
      </c>
      <c r="F336" s="13" t="str">
        <f>TEXT(Table1[[#This Row],[Order Date]],"MMMM")</f>
        <v>November</v>
      </c>
      <c r="G336" s="13">
        <f t="shared" si="10"/>
        <v>2023</v>
      </c>
      <c r="H336" s="13" t="str">
        <f t="shared" si="11"/>
        <v>Q4</v>
      </c>
      <c r="I336" s="1" t="s">
        <v>37</v>
      </c>
      <c r="J336" s="7" t="s">
        <v>32</v>
      </c>
      <c r="K336" s="7" t="s">
        <v>22</v>
      </c>
      <c r="L336" t="s">
        <v>35</v>
      </c>
      <c r="M336" s="9">
        <v>430.55</v>
      </c>
      <c r="N336" s="4">
        <v>4</v>
      </c>
      <c r="O336" s="12">
        <v>0.3</v>
      </c>
      <c r="P336" s="9">
        <v>-84.31</v>
      </c>
      <c r="Q336" s="10">
        <f>Table1[[#This Row],[Profit]]/Table1[[#This Row],[Sales]]</f>
        <v>-0.19581930089420507</v>
      </c>
      <c r="R336" t="str">
        <f>IF(Table1[[#This Row],[Profit Margin]]&gt;0,"profit","loss")</f>
        <v>loss</v>
      </c>
      <c r="S336" t="str">
        <f>IF(Table1[[#This Row],[Discount]]=0,"No Discount",IF(Table1[[#This Row],[Discount]]&lt;=0.2,"low",IF(Table1[[#This Row],[Discount]]&lt;=0.3,"medium","high")))</f>
        <v>medium</v>
      </c>
      <c r="T336" s="15" t="str">
        <f>IF(Table1[[#This Row],[Days]]&lt;=2,"faster",IF(Table1[[#This Row],[Days]]&lt;=4,"Normal","slow"))</f>
        <v>slow</v>
      </c>
    </row>
    <row r="337" spans="1:20" x14ac:dyDescent="0.25">
      <c r="A337" s="4" t="s">
        <v>370</v>
      </c>
      <c r="B337" s="1">
        <v>44976</v>
      </c>
      <c r="C337" s="1">
        <v>44977</v>
      </c>
      <c r="D337" s="13">
        <f>Table1[[#This Row],[Shipped date]]-Table1[[#This Row],[Order Date]]</f>
        <v>1</v>
      </c>
      <c r="E337" t="s">
        <v>19</v>
      </c>
      <c r="F337" s="13" t="str">
        <f>TEXT(Table1[[#This Row],[Order Date]],"MMMM")</f>
        <v>February</v>
      </c>
      <c r="G337" s="13">
        <f t="shared" si="10"/>
        <v>2023</v>
      </c>
      <c r="H337" s="13" t="str">
        <f t="shared" si="11"/>
        <v>Q1</v>
      </c>
      <c r="I337" s="1" t="s">
        <v>14</v>
      </c>
      <c r="J337" s="7" t="s">
        <v>21</v>
      </c>
      <c r="K337" s="7" t="s">
        <v>22</v>
      </c>
      <c r="L337" t="s">
        <v>40</v>
      </c>
      <c r="M337" s="9">
        <v>784.89</v>
      </c>
      <c r="N337" s="4">
        <v>7</v>
      </c>
      <c r="O337" s="12">
        <v>0.2</v>
      </c>
      <c r="P337" s="9">
        <v>-54.23</v>
      </c>
      <c r="Q337" s="10">
        <f>Table1[[#This Row],[Profit]]/Table1[[#This Row],[Sales]]</f>
        <v>-6.9092484297162651E-2</v>
      </c>
      <c r="R337" t="str">
        <f>IF(Table1[[#This Row],[Profit Margin]]&gt;0,"profit","loss")</f>
        <v>loss</v>
      </c>
      <c r="S337" t="str">
        <f>IF(Table1[[#This Row],[Discount]]=0,"No Discount",IF(Table1[[#This Row],[Discount]]&lt;=0.2,"low",IF(Table1[[#This Row],[Discount]]&lt;=0.3,"medium","high")))</f>
        <v>low</v>
      </c>
      <c r="T337" s="15" t="str">
        <f>IF(Table1[[#This Row],[Days]]&lt;=2,"faster",IF(Table1[[#This Row],[Days]]&lt;=4,"Normal","slow"))</f>
        <v>faster</v>
      </c>
    </row>
    <row r="338" spans="1:20" x14ac:dyDescent="0.25">
      <c r="A338" s="4" t="s">
        <v>371</v>
      </c>
      <c r="B338" s="1">
        <v>44973</v>
      </c>
      <c r="C338" s="1">
        <v>44977</v>
      </c>
      <c r="D338" s="13">
        <f>Table1[[#This Row],[Shipped date]]-Table1[[#This Row],[Order Date]]</f>
        <v>4</v>
      </c>
      <c r="E338" t="s">
        <v>25</v>
      </c>
      <c r="F338" s="13" t="str">
        <f>TEXT(Table1[[#This Row],[Order Date]],"MMMM")</f>
        <v>February</v>
      </c>
      <c r="G338" s="13">
        <f t="shared" si="10"/>
        <v>2023</v>
      </c>
      <c r="H338" s="13" t="str">
        <f t="shared" si="11"/>
        <v>Q1</v>
      </c>
      <c r="I338" s="1" t="s">
        <v>14</v>
      </c>
      <c r="J338" s="7" t="s">
        <v>15</v>
      </c>
      <c r="K338" s="7" t="s">
        <v>22</v>
      </c>
      <c r="L338" t="s">
        <v>23</v>
      </c>
      <c r="M338" s="9">
        <v>32.83</v>
      </c>
      <c r="N338" s="4">
        <v>8</v>
      </c>
      <c r="O338" s="12">
        <v>0</v>
      </c>
      <c r="P338" s="9">
        <v>19.350000000000001</v>
      </c>
      <c r="Q338" s="10">
        <f>Table1[[#This Row],[Profit]]/Table1[[#This Row],[Sales]]</f>
        <v>0.58939993908010968</v>
      </c>
      <c r="R338" t="str">
        <f>IF(Table1[[#This Row],[Profit Margin]]&gt;0,"profit","loss")</f>
        <v>profit</v>
      </c>
      <c r="S338" t="str">
        <f>IF(Table1[[#This Row],[Discount]]=0,"No Discount",IF(Table1[[#This Row],[Discount]]&lt;=0.2,"low",IF(Table1[[#This Row],[Discount]]&lt;=0.3,"medium","high")))</f>
        <v>No Discount</v>
      </c>
      <c r="T338" s="15" t="str">
        <f>IF(Table1[[#This Row],[Days]]&lt;=2,"faster",IF(Table1[[#This Row],[Days]]&lt;=4,"Normal","slow"))</f>
        <v>Normal</v>
      </c>
    </row>
    <row r="339" spans="1:20" x14ac:dyDescent="0.25">
      <c r="A339" s="4" t="s">
        <v>372</v>
      </c>
      <c r="B339" s="1">
        <v>45046</v>
      </c>
      <c r="C339" s="1">
        <v>45052</v>
      </c>
      <c r="D339" s="13">
        <f>Table1[[#This Row],[Shipped date]]-Table1[[#This Row],[Order Date]]</f>
        <v>6</v>
      </c>
      <c r="E339" t="s">
        <v>25</v>
      </c>
      <c r="F339" s="13" t="str">
        <f>TEXT(Table1[[#This Row],[Order Date]],"MMMM")</f>
        <v>April</v>
      </c>
      <c r="G339" s="13">
        <f t="shared" si="10"/>
        <v>2023</v>
      </c>
      <c r="H339" s="13" t="str">
        <f t="shared" si="11"/>
        <v>Q2</v>
      </c>
      <c r="I339" s="1" t="s">
        <v>20</v>
      </c>
      <c r="J339" s="7" t="s">
        <v>21</v>
      </c>
      <c r="K339" s="7" t="s">
        <v>16</v>
      </c>
      <c r="L339" t="s">
        <v>17</v>
      </c>
      <c r="M339" s="9">
        <v>976.03</v>
      </c>
      <c r="N339" s="4">
        <v>4</v>
      </c>
      <c r="O339" s="12">
        <v>0</v>
      </c>
      <c r="P339" s="9">
        <v>88.01</v>
      </c>
      <c r="Q339" s="10">
        <f>Table1[[#This Row],[Profit]]/Table1[[#This Row],[Sales]]</f>
        <v>9.0171408665717254E-2</v>
      </c>
      <c r="R339" t="str">
        <f>IF(Table1[[#This Row],[Profit Margin]]&gt;0,"profit","loss")</f>
        <v>profit</v>
      </c>
      <c r="S339" t="str">
        <f>IF(Table1[[#This Row],[Discount]]=0,"No Discount",IF(Table1[[#This Row],[Discount]]&lt;=0.2,"low",IF(Table1[[#This Row],[Discount]]&lt;=0.3,"medium","high")))</f>
        <v>No Discount</v>
      </c>
      <c r="T339" s="15" t="str">
        <f>IF(Table1[[#This Row],[Days]]&lt;=2,"faster",IF(Table1[[#This Row],[Days]]&lt;=4,"Normal","slow"))</f>
        <v>slow</v>
      </c>
    </row>
    <row r="340" spans="1:20" x14ac:dyDescent="0.25">
      <c r="A340" s="4" t="s">
        <v>373</v>
      </c>
      <c r="B340" s="1">
        <v>45168</v>
      </c>
      <c r="C340" s="1">
        <v>45174</v>
      </c>
      <c r="D340" s="13">
        <f>Table1[[#This Row],[Shipped date]]-Table1[[#This Row],[Order Date]]</f>
        <v>6</v>
      </c>
      <c r="E340" t="s">
        <v>13</v>
      </c>
      <c r="F340" s="13" t="str">
        <f>TEXT(Table1[[#This Row],[Order Date]],"MMMM")</f>
        <v>August</v>
      </c>
      <c r="G340" s="13">
        <f t="shared" si="10"/>
        <v>2023</v>
      </c>
      <c r="H340" s="13" t="str">
        <f t="shared" si="11"/>
        <v>Q3</v>
      </c>
      <c r="I340" s="1" t="s">
        <v>37</v>
      </c>
      <c r="J340" s="7" t="s">
        <v>21</v>
      </c>
      <c r="K340" s="7" t="s">
        <v>16</v>
      </c>
      <c r="L340" t="s">
        <v>17</v>
      </c>
      <c r="M340" s="9">
        <v>426.33</v>
      </c>
      <c r="N340" s="4">
        <v>9</v>
      </c>
      <c r="O340" s="12">
        <v>0.3</v>
      </c>
      <c r="P340" s="9">
        <v>-67.81</v>
      </c>
      <c r="Q340" s="10">
        <f>Table1[[#This Row],[Profit]]/Table1[[#This Row],[Sales]]</f>
        <v>-0.1590551919874276</v>
      </c>
      <c r="R340" t="str">
        <f>IF(Table1[[#This Row],[Profit Margin]]&gt;0,"profit","loss")</f>
        <v>loss</v>
      </c>
      <c r="S340" t="str">
        <f>IF(Table1[[#This Row],[Discount]]=0,"No Discount",IF(Table1[[#This Row],[Discount]]&lt;=0.2,"low",IF(Table1[[#This Row],[Discount]]&lt;=0.3,"medium","high")))</f>
        <v>medium</v>
      </c>
      <c r="T340" s="15" t="str">
        <f>IF(Table1[[#This Row],[Days]]&lt;=2,"faster",IF(Table1[[#This Row],[Days]]&lt;=4,"Normal","slow"))</f>
        <v>slow</v>
      </c>
    </row>
    <row r="341" spans="1:20" x14ac:dyDescent="0.25">
      <c r="A341" s="4" t="s">
        <v>374</v>
      </c>
      <c r="B341" s="1">
        <v>45228</v>
      </c>
      <c r="C341" s="1">
        <v>45229</v>
      </c>
      <c r="D341" s="13">
        <f>Table1[[#This Row],[Shipped date]]-Table1[[#This Row],[Order Date]]</f>
        <v>1</v>
      </c>
      <c r="E341" t="s">
        <v>13</v>
      </c>
      <c r="F341" s="13" t="str">
        <f>TEXT(Table1[[#This Row],[Order Date]],"MMMM")</f>
        <v>October</v>
      </c>
      <c r="G341" s="13">
        <f t="shared" si="10"/>
        <v>2023</v>
      </c>
      <c r="H341" s="13" t="str">
        <f t="shared" si="11"/>
        <v>Q4</v>
      </c>
      <c r="I341" s="1" t="s">
        <v>14</v>
      </c>
      <c r="J341" s="7" t="s">
        <v>15</v>
      </c>
      <c r="K341" s="7" t="s">
        <v>29</v>
      </c>
      <c r="L341" t="s">
        <v>30</v>
      </c>
      <c r="M341" s="9">
        <v>200.77</v>
      </c>
      <c r="N341" s="4">
        <v>2</v>
      </c>
      <c r="O341" s="12">
        <v>0.2</v>
      </c>
      <c r="P341" s="9">
        <v>1.6</v>
      </c>
      <c r="Q341" s="10">
        <f>Table1[[#This Row],[Profit]]/Table1[[#This Row],[Sales]]</f>
        <v>7.9693181252179102E-3</v>
      </c>
      <c r="R341" t="str">
        <f>IF(Table1[[#This Row],[Profit Margin]]&gt;0,"profit","loss")</f>
        <v>profit</v>
      </c>
      <c r="S341" t="str">
        <f>IF(Table1[[#This Row],[Discount]]=0,"No Discount",IF(Table1[[#This Row],[Discount]]&lt;=0.2,"low",IF(Table1[[#This Row],[Discount]]&lt;=0.3,"medium","high")))</f>
        <v>low</v>
      </c>
      <c r="T341" s="15" t="str">
        <f>IF(Table1[[#This Row],[Days]]&lt;=2,"faster",IF(Table1[[#This Row],[Days]]&lt;=4,"Normal","slow"))</f>
        <v>faster</v>
      </c>
    </row>
    <row r="342" spans="1:20" x14ac:dyDescent="0.25">
      <c r="A342" s="4" t="s">
        <v>375</v>
      </c>
      <c r="B342" s="1">
        <v>45158</v>
      </c>
      <c r="C342" s="1">
        <v>45161</v>
      </c>
      <c r="D342" s="13">
        <f>Table1[[#This Row],[Shipped date]]-Table1[[#This Row],[Order Date]]</f>
        <v>3</v>
      </c>
      <c r="E342" t="s">
        <v>19</v>
      </c>
      <c r="F342" s="13" t="str">
        <f>TEXT(Table1[[#This Row],[Order Date]],"MMMM")</f>
        <v>August</v>
      </c>
      <c r="G342" s="13">
        <f t="shared" si="10"/>
        <v>2023</v>
      </c>
      <c r="H342" s="13" t="str">
        <f t="shared" si="11"/>
        <v>Q3</v>
      </c>
      <c r="I342" s="1" t="s">
        <v>14</v>
      </c>
      <c r="J342" s="7" t="s">
        <v>26</v>
      </c>
      <c r="K342" s="7" t="s">
        <v>16</v>
      </c>
      <c r="L342" t="s">
        <v>17</v>
      </c>
      <c r="M342" s="9">
        <v>85.73</v>
      </c>
      <c r="N342" s="4">
        <v>5</v>
      </c>
      <c r="O342" s="12">
        <v>0.2</v>
      </c>
      <c r="P342" s="9">
        <v>1.3</v>
      </c>
      <c r="Q342" s="10">
        <f>Table1[[#This Row],[Profit]]/Table1[[#This Row],[Sales]]</f>
        <v>1.5163886620786189E-2</v>
      </c>
      <c r="R342" t="str">
        <f>IF(Table1[[#This Row],[Profit Margin]]&gt;0,"profit","loss")</f>
        <v>profit</v>
      </c>
      <c r="S342" t="str">
        <f>IF(Table1[[#This Row],[Discount]]=0,"No Discount",IF(Table1[[#This Row],[Discount]]&lt;=0.2,"low",IF(Table1[[#This Row],[Discount]]&lt;=0.3,"medium","high")))</f>
        <v>low</v>
      </c>
      <c r="T342" s="15" t="str">
        <f>IF(Table1[[#This Row],[Days]]&lt;=2,"faster",IF(Table1[[#This Row],[Days]]&lt;=4,"Normal","slow"))</f>
        <v>Normal</v>
      </c>
    </row>
    <row r="343" spans="1:20" x14ac:dyDescent="0.25">
      <c r="A343" s="4" t="s">
        <v>376</v>
      </c>
      <c r="B343" s="1">
        <v>45050</v>
      </c>
      <c r="C343" s="1">
        <v>45057</v>
      </c>
      <c r="D343" s="13">
        <f>Table1[[#This Row],[Shipped date]]-Table1[[#This Row],[Order Date]]</f>
        <v>7</v>
      </c>
      <c r="E343" t="s">
        <v>13</v>
      </c>
      <c r="F343" s="13" t="str">
        <f>TEXT(Table1[[#This Row],[Order Date]],"MMMM")</f>
        <v>May</v>
      </c>
      <c r="G343" s="13">
        <f t="shared" si="10"/>
        <v>2023</v>
      </c>
      <c r="H343" s="13" t="str">
        <f t="shared" si="11"/>
        <v>Q2</v>
      </c>
      <c r="I343" s="1" t="s">
        <v>37</v>
      </c>
      <c r="J343" s="7" t="s">
        <v>26</v>
      </c>
      <c r="K343" s="7" t="s">
        <v>22</v>
      </c>
      <c r="L343" t="s">
        <v>23</v>
      </c>
      <c r="M343" s="9">
        <v>803.79</v>
      </c>
      <c r="N343" s="4">
        <v>10</v>
      </c>
      <c r="O343" s="12">
        <v>0.1</v>
      </c>
      <c r="P343" s="9">
        <v>-5.64</v>
      </c>
      <c r="Q343" s="10">
        <f>Table1[[#This Row],[Profit]]/Table1[[#This Row],[Sales]]</f>
        <v>-7.0167581084611651E-3</v>
      </c>
      <c r="R343" t="str">
        <f>IF(Table1[[#This Row],[Profit Margin]]&gt;0,"profit","loss")</f>
        <v>loss</v>
      </c>
      <c r="S343" t="str">
        <f>IF(Table1[[#This Row],[Discount]]=0,"No Discount",IF(Table1[[#This Row],[Discount]]&lt;=0.2,"low",IF(Table1[[#This Row],[Discount]]&lt;=0.3,"medium","high")))</f>
        <v>low</v>
      </c>
      <c r="T343" s="15" t="str">
        <f>IF(Table1[[#This Row],[Days]]&lt;=2,"faster",IF(Table1[[#This Row],[Days]]&lt;=4,"Normal","slow"))</f>
        <v>slow</v>
      </c>
    </row>
    <row r="344" spans="1:20" x14ac:dyDescent="0.25">
      <c r="A344" s="4" t="s">
        <v>377</v>
      </c>
      <c r="B344" s="1">
        <v>45190</v>
      </c>
      <c r="C344" s="1">
        <v>45194</v>
      </c>
      <c r="D344" s="13">
        <f>Table1[[#This Row],[Shipped date]]-Table1[[#This Row],[Order Date]]</f>
        <v>4</v>
      </c>
      <c r="E344" t="s">
        <v>19</v>
      </c>
      <c r="F344" s="13" t="str">
        <f>TEXT(Table1[[#This Row],[Order Date]],"MMMM")</f>
        <v>September</v>
      </c>
      <c r="G344" s="13">
        <f t="shared" si="10"/>
        <v>2023</v>
      </c>
      <c r="H344" s="13" t="str">
        <f t="shared" si="11"/>
        <v>Q3</v>
      </c>
      <c r="I344" s="1" t="s">
        <v>14</v>
      </c>
      <c r="J344" s="7" t="s">
        <v>21</v>
      </c>
      <c r="K344" s="7" t="s">
        <v>16</v>
      </c>
      <c r="L344" t="s">
        <v>38</v>
      </c>
      <c r="M344" s="9">
        <v>206.87</v>
      </c>
      <c r="N344" s="4">
        <v>5</v>
      </c>
      <c r="O344" s="12">
        <v>0</v>
      </c>
      <c r="P344" s="9">
        <v>27.13</v>
      </c>
      <c r="Q344" s="10">
        <f>Table1[[#This Row],[Profit]]/Table1[[#This Row],[Sales]]</f>
        <v>0.13114516362933243</v>
      </c>
      <c r="R344" t="str">
        <f>IF(Table1[[#This Row],[Profit Margin]]&gt;0,"profit","loss")</f>
        <v>profit</v>
      </c>
      <c r="S344" t="str">
        <f>IF(Table1[[#This Row],[Discount]]=0,"No Discount",IF(Table1[[#This Row],[Discount]]&lt;=0.2,"low",IF(Table1[[#This Row],[Discount]]&lt;=0.3,"medium","high")))</f>
        <v>No Discount</v>
      </c>
      <c r="T344" s="15" t="str">
        <f>IF(Table1[[#This Row],[Days]]&lt;=2,"faster",IF(Table1[[#This Row],[Days]]&lt;=4,"Normal","slow"))</f>
        <v>Normal</v>
      </c>
    </row>
    <row r="345" spans="1:20" x14ac:dyDescent="0.25">
      <c r="A345" s="4" t="s">
        <v>378</v>
      </c>
      <c r="B345" s="1">
        <v>45140</v>
      </c>
      <c r="C345" s="1">
        <v>45143</v>
      </c>
      <c r="D345" s="13">
        <f>Table1[[#This Row],[Shipped date]]-Table1[[#This Row],[Order Date]]</f>
        <v>3</v>
      </c>
      <c r="E345" t="s">
        <v>19</v>
      </c>
      <c r="F345" s="13" t="str">
        <f>TEXT(Table1[[#This Row],[Order Date]],"MMMM")</f>
        <v>August</v>
      </c>
      <c r="G345" s="13">
        <f t="shared" si="10"/>
        <v>2023</v>
      </c>
      <c r="H345" s="13" t="str">
        <f t="shared" si="11"/>
        <v>Q3</v>
      </c>
      <c r="I345" s="1" t="s">
        <v>20</v>
      </c>
      <c r="J345" s="7" t="s">
        <v>26</v>
      </c>
      <c r="K345" s="7" t="s">
        <v>16</v>
      </c>
      <c r="L345" t="s">
        <v>33</v>
      </c>
      <c r="M345" s="9">
        <v>839.83</v>
      </c>
      <c r="N345" s="4">
        <v>3</v>
      </c>
      <c r="O345" s="12">
        <v>0.2</v>
      </c>
      <c r="P345" s="9">
        <v>-99.38</v>
      </c>
      <c r="Q345" s="10">
        <f>Table1[[#This Row],[Profit]]/Table1[[#This Row],[Sales]]</f>
        <v>-0.11833347225033637</v>
      </c>
      <c r="R345" t="str">
        <f>IF(Table1[[#This Row],[Profit Margin]]&gt;0,"profit","loss")</f>
        <v>loss</v>
      </c>
      <c r="S345" t="str">
        <f>IF(Table1[[#This Row],[Discount]]=0,"No Discount",IF(Table1[[#This Row],[Discount]]&lt;=0.2,"low",IF(Table1[[#This Row],[Discount]]&lt;=0.3,"medium","high")))</f>
        <v>low</v>
      </c>
      <c r="T345" s="15" t="str">
        <f>IF(Table1[[#This Row],[Days]]&lt;=2,"faster",IF(Table1[[#This Row],[Days]]&lt;=4,"Normal","slow"))</f>
        <v>Normal</v>
      </c>
    </row>
    <row r="346" spans="1:20" x14ac:dyDescent="0.25">
      <c r="A346" s="4" t="s">
        <v>379</v>
      </c>
      <c r="B346" s="1">
        <v>45106</v>
      </c>
      <c r="C346" s="1">
        <v>45107</v>
      </c>
      <c r="D346" s="13">
        <f>Table1[[#This Row],[Shipped date]]-Table1[[#This Row],[Order Date]]</f>
        <v>1</v>
      </c>
      <c r="E346" t="s">
        <v>13</v>
      </c>
      <c r="F346" s="13" t="str">
        <f>TEXT(Table1[[#This Row],[Order Date]],"MMMM")</f>
        <v>June</v>
      </c>
      <c r="G346" s="13">
        <f t="shared" si="10"/>
        <v>2023</v>
      </c>
      <c r="H346" s="13" t="str">
        <f t="shared" si="11"/>
        <v>Q2</v>
      </c>
      <c r="I346" s="1" t="s">
        <v>14</v>
      </c>
      <c r="J346" s="7" t="s">
        <v>15</v>
      </c>
      <c r="K346" s="7" t="s">
        <v>22</v>
      </c>
      <c r="L346" t="s">
        <v>35</v>
      </c>
      <c r="M346" s="9">
        <v>780.02</v>
      </c>
      <c r="N346" s="4">
        <v>10</v>
      </c>
      <c r="O346" s="12">
        <v>0.2</v>
      </c>
      <c r="P346" s="9">
        <v>-61.07</v>
      </c>
      <c r="Q346" s="10">
        <f>Table1[[#This Row],[Profit]]/Table1[[#This Row],[Sales]]</f>
        <v>-7.8292864285531144E-2</v>
      </c>
      <c r="R346" t="str">
        <f>IF(Table1[[#This Row],[Profit Margin]]&gt;0,"profit","loss")</f>
        <v>loss</v>
      </c>
      <c r="S346" t="str">
        <f>IF(Table1[[#This Row],[Discount]]=0,"No Discount",IF(Table1[[#This Row],[Discount]]&lt;=0.2,"low",IF(Table1[[#This Row],[Discount]]&lt;=0.3,"medium","high")))</f>
        <v>low</v>
      </c>
      <c r="T346" s="15" t="str">
        <f>IF(Table1[[#This Row],[Days]]&lt;=2,"faster",IF(Table1[[#This Row],[Days]]&lt;=4,"Normal","slow"))</f>
        <v>faster</v>
      </c>
    </row>
    <row r="347" spans="1:20" x14ac:dyDescent="0.25">
      <c r="A347" s="4" t="s">
        <v>380</v>
      </c>
      <c r="B347" s="1">
        <v>45068</v>
      </c>
      <c r="C347" s="1">
        <v>45074</v>
      </c>
      <c r="D347" s="13">
        <f>Table1[[#This Row],[Shipped date]]-Table1[[#This Row],[Order Date]]</f>
        <v>6</v>
      </c>
      <c r="E347" t="s">
        <v>19</v>
      </c>
      <c r="F347" s="13" t="str">
        <f>TEXT(Table1[[#This Row],[Order Date]],"MMMM")</f>
        <v>May</v>
      </c>
      <c r="G347" s="13">
        <f t="shared" si="10"/>
        <v>2023</v>
      </c>
      <c r="H347" s="13" t="str">
        <f t="shared" si="11"/>
        <v>Q2</v>
      </c>
      <c r="I347" s="1" t="s">
        <v>20</v>
      </c>
      <c r="J347" s="7" t="s">
        <v>26</v>
      </c>
      <c r="K347" s="7" t="s">
        <v>29</v>
      </c>
      <c r="L347" t="s">
        <v>45</v>
      </c>
      <c r="M347" s="9">
        <v>543.77</v>
      </c>
      <c r="N347" s="4">
        <v>10</v>
      </c>
      <c r="O347" s="12">
        <v>0</v>
      </c>
      <c r="P347" s="9">
        <v>62.43</v>
      </c>
      <c r="Q347" s="10">
        <f>Table1[[#This Row],[Profit]]/Table1[[#This Row],[Sales]]</f>
        <v>0.11480957022270445</v>
      </c>
      <c r="R347" t="str">
        <f>IF(Table1[[#This Row],[Profit Margin]]&gt;0,"profit","loss")</f>
        <v>profit</v>
      </c>
      <c r="S347" t="str">
        <f>IF(Table1[[#This Row],[Discount]]=0,"No Discount",IF(Table1[[#This Row],[Discount]]&lt;=0.2,"low",IF(Table1[[#This Row],[Discount]]&lt;=0.3,"medium","high")))</f>
        <v>No Discount</v>
      </c>
      <c r="T347" s="15" t="str">
        <f>IF(Table1[[#This Row],[Days]]&lt;=2,"faster",IF(Table1[[#This Row],[Days]]&lt;=4,"Normal","slow"))</f>
        <v>slow</v>
      </c>
    </row>
    <row r="348" spans="1:20" x14ac:dyDescent="0.25">
      <c r="A348" s="4" t="s">
        <v>381</v>
      </c>
      <c r="B348" s="1">
        <v>44951</v>
      </c>
      <c r="C348" s="1">
        <v>44952</v>
      </c>
      <c r="D348" s="13">
        <f>Table1[[#This Row],[Shipped date]]-Table1[[#This Row],[Order Date]]</f>
        <v>1</v>
      </c>
      <c r="E348" t="s">
        <v>19</v>
      </c>
      <c r="F348" s="13" t="str">
        <f>TEXT(Table1[[#This Row],[Order Date]],"MMMM")</f>
        <v>January</v>
      </c>
      <c r="G348" s="13">
        <f t="shared" si="10"/>
        <v>2023</v>
      </c>
      <c r="H348" s="13" t="str">
        <f t="shared" si="11"/>
        <v>Q1</v>
      </c>
      <c r="I348" s="1" t="s">
        <v>20</v>
      </c>
      <c r="J348" s="7" t="s">
        <v>32</v>
      </c>
      <c r="K348" s="7" t="s">
        <v>16</v>
      </c>
      <c r="L348" t="s">
        <v>33</v>
      </c>
      <c r="M348" s="9">
        <v>568.45000000000005</v>
      </c>
      <c r="N348" s="4">
        <v>8</v>
      </c>
      <c r="O348" s="12">
        <v>0.2</v>
      </c>
      <c r="P348" s="9">
        <v>-69.64</v>
      </c>
      <c r="Q348" s="10">
        <f>Table1[[#This Row],[Profit]]/Table1[[#This Row],[Sales]]</f>
        <v>-0.12250857595215058</v>
      </c>
      <c r="R348" t="str">
        <f>IF(Table1[[#This Row],[Profit Margin]]&gt;0,"profit","loss")</f>
        <v>loss</v>
      </c>
      <c r="S348" t="str">
        <f>IF(Table1[[#This Row],[Discount]]=0,"No Discount",IF(Table1[[#This Row],[Discount]]&lt;=0.2,"low",IF(Table1[[#This Row],[Discount]]&lt;=0.3,"medium","high")))</f>
        <v>low</v>
      </c>
      <c r="T348" s="15" t="str">
        <f>IF(Table1[[#This Row],[Days]]&lt;=2,"faster",IF(Table1[[#This Row],[Days]]&lt;=4,"Normal","slow"))</f>
        <v>faster</v>
      </c>
    </row>
    <row r="349" spans="1:20" x14ac:dyDescent="0.25">
      <c r="A349" s="4" t="s">
        <v>382</v>
      </c>
      <c r="B349" s="1">
        <v>44944</v>
      </c>
      <c r="C349" s="1">
        <v>44951</v>
      </c>
      <c r="D349" s="13">
        <f>Table1[[#This Row],[Shipped date]]-Table1[[#This Row],[Order Date]]</f>
        <v>7</v>
      </c>
      <c r="E349" t="s">
        <v>28</v>
      </c>
      <c r="F349" s="13" t="str">
        <f>TEXT(Table1[[#This Row],[Order Date]],"MMMM")</f>
        <v>January</v>
      </c>
      <c r="G349" s="13">
        <f t="shared" si="10"/>
        <v>2023</v>
      </c>
      <c r="H349" s="13" t="str">
        <f t="shared" si="11"/>
        <v>Q1</v>
      </c>
      <c r="I349" s="1" t="s">
        <v>37</v>
      </c>
      <c r="J349" s="7" t="s">
        <v>15</v>
      </c>
      <c r="K349" s="7" t="s">
        <v>29</v>
      </c>
      <c r="L349" t="s">
        <v>43</v>
      </c>
      <c r="M349" s="9">
        <v>347.68</v>
      </c>
      <c r="N349" s="4">
        <v>4</v>
      </c>
      <c r="O349" s="12">
        <v>0.2</v>
      </c>
      <c r="P349" s="9">
        <v>11.46</v>
      </c>
      <c r="Q349" s="10">
        <f>Table1[[#This Row],[Profit]]/Table1[[#This Row],[Sales]]</f>
        <v>3.2961343764381042E-2</v>
      </c>
      <c r="R349" t="str">
        <f>IF(Table1[[#This Row],[Profit Margin]]&gt;0,"profit","loss")</f>
        <v>profit</v>
      </c>
      <c r="S349" t="str">
        <f>IF(Table1[[#This Row],[Discount]]=0,"No Discount",IF(Table1[[#This Row],[Discount]]&lt;=0.2,"low",IF(Table1[[#This Row],[Discount]]&lt;=0.3,"medium","high")))</f>
        <v>low</v>
      </c>
      <c r="T349" s="15" t="str">
        <f>IF(Table1[[#This Row],[Days]]&lt;=2,"faster",IF(Table1[[#This Row],[Days]]&lt;=4,"Normal","slow"))</f>
        <v>slow</v>
      </c>
    </row>
    <row r="350" spans="1:20" x14ac:dyDescent="0.25">
      <c r="A350" s="4" t="s">
        <v>383</v>
      </c>
      <c r="B350" s="1">
        <v>44972</v>
      </c>
      <c r="C350" s="1">
        <v>44977</v>
      </c>
      <c r="D350" s="13">
        <f>Table1[[#This Row],[Shipped date]]-Table1[[#This Row],[Order Date]]</f>
        <v>5</v>
      </c>
      <c r="E350" t="s">
        <v>13</v>
      </c>
      <c r="F350" s="13" t="str">
        <f>TEXT(Table1[[#This Row],[Order Date]],"MMMM")</f>
        <v>February</v>
      </c>
      <c r="G350" s="13">
        <f t="shared" si="10"/>
        <v>2023</v>
      </c>
      <c r="H350" s="13" t="str">
        <f t="shared" si="11"/>
        <v>Q1</v>
      </c>
      <c r="I350" s="1" t="s">
        <v>14</v>
      </c>
      <c r="J350" s="7" t="s">
        <v>32</v>
      </c>
      <c r="K350" s="7" t="s">
        <v>22</v>
      </c>
      <c r="L350" t="s">
        <v>40</v>
      </c>
      <c r="M350" s="9">
        <v>385.84</v>
      </c>
      <c r="N350" s="4">
        <v>1</v>
      </c>
      <c r="O350" s="12">
        <v>0.1</v>
      </c>
      <c r="P350" s="9">
        <v>42.82</v>
      </c>
      <c r="Q350" s="10">
        <f>Table1[[#This Row],[Profit]]/Table1[[#This Row],[Sales]]</f>
        <v>0.11097864399751194</v>
      </c>
      <c r="R350" t="str">
        <f>IF(Table1[[#This Row],[Profit Margin]]&gt;0,"profit","loss")</f>
        <v>profit</v>
      </c>
      <c r="S350" t="str">
        <f>IF(Table1[[#This Row],[Discount]]=0,"No Discount",IF(Table1[[#This Row],[Discount]]&lt;=0.2,"low",IF(Table1[[#This Row],[Discount]]&lt;=0.3,"medium","high")))</f>
        <v>low</v>
      </c>
      <c r="T350" s="15" t="str">
        <f>IF(Table1[[#This Row],[Days]]&lt;=2,"faster",IF(Table1[[#This Row],[Days]]&lt;=4,"Normal","slow"))</f>
        <v>slow</v>
      </c>
    </row>
    <row r="351" spans="1:20" x14ac:dyDescent="0.25">
      <c r="A351" s="4" t="s">
        <v>384</v>
      </c>
      <c r="B351" s="1">
        <v>45240</v>
      </c>
      <c r="C351" s="1">
        <v>45244</v>
      </c>
      <c r="D351" s="13">
        <f>Table1[[#This Row],[Shipped date]]-Table1[[#This Row],[Order Date]]</f>
        <v>4</v>
      </c>
      <c r="E351" t="s">
        <v>25</v>
      </c>
      <c r="F351" s="13" t="str">
        <f>TEXT(Table1[[#This Row],[Order Date]],"MMMM")</f>
        <v>November</v>
      </c>
      <c r="G351" s="13">
        <f t="shared" si="10"/>
        <v>2023</v>
      </c>
      <c r="H351" s="13" t="str">
        <f t="shared" si="11"/>
        <v>Q4</v>
      </c>
      <c r="I351" s="1" t="s">
        <v>37</v>
      </c>
      <c r="J351" s="7" t="s">
        <v>32</v>
      </c>
      <c r="K351" s="7" t="s">
        <v>22</v>
      </c>
      <c r="L351" t="s">
        <v>23</v>
      </c>
      <c r="M351" s="9">
        <v>536.04999999999995</v>
      </c>
      <c r="N351" s="4">
        <v>8</v>
      </c>
      <c r="O351" s="12">
        <v>0</v>
      </c>
      <c r="P351" s="9">
        <v>35.380000000000003</v>
      </c>
      <c r="Q351" s="10">
        <f>Table1[[#This Row],[Profit]]/Table1[[#This Row],[Sales]]</f>
        <v>6.6001305848335051E-2</v>
      </c>
      <c r="R351" t="str">
        <f>IF(Table1[[#This Row],[Profit Margin]]&gt;0,"profit","loss")</f>
        <v>profit</v>
      </c>
      <c r="S351" t="str">
        <f>IF(Table1[[#This Row],[Discount]]=0,"No Discount",IF(Table1[[#This Row],[Discount]]&lt;=0.2,"low",IF(Table1[[#This Row],[Discount]]&lt;=0.3,"medium","high")))</f>
        <v>No Discount</v>
      </c>
      <c r="T351" s="15" t="str">
        <f>IF(Table1[[#This Row],[Days]]&lt;=2,"faster",IF(Table1[[#This Row],[Days]]&lt;=4,"Normal","slow"))</f>
        <v>Normal</v>
      </c>
    </row>
    <row r="352" spans="1:20" x14ac:dyDescent="0.25">
      <c r="A352" s="4" t="s">
        <v>385</v>
      </c>
      <c r="B352" s="1">
        <v>45159</v>
      </c>
      <c r="C352" s="1">
        <v>45165</v>
      </c>
      <c r="D352" s="13">
        <f>Table1[[#This Row],[Shipped date]]-Table1[[#This Row],[Order Date]]</f>
        <v>6</v>
      </c>
      <c r="E352" t="s">
        <v>19</v>
      </c>
      <c r="F352" s="13" t="str">
        <f>TEXT(Table1[[#This Row],[Order Date]],"MMMM")</f>
        <v>August</v>
      </c>
      <c r="G352" s="13">
        <f t="shared" si="10"/>
        <v>2023</v>
      </c>
      <c r="H352" s="13" t="str">
        <f t="shared" si="11"/>
        <v>Q3</v>
      </c>
      <c r="I352" s="1" t="s">
        <v>37</v>
      </c>
      <c r="J352" s="7" t="s">
        <v>21</v>
      </c>
      <c r="K352" s="7" t="s">
        <v>22</v>
      </c>
      <c r="L352" t="s">
        <v>35</v>
      </c>
      <c r="M352" s="9">
        <v>173.03</v>
      </c>
      <c r="N352" s="4">
        <v>5</v>
      </c>
      <c r="O352" s="12">
        <v>0.1</v>
      </c>
      <c r="P352" s="9">
        <v>40.69</v>
      </c>
      <c r="Q352" s="10">
        <f>Table1[[#This Row],[Profit]]/Table1[[#This Row],[Sales]]</f>
        <v>0.23516153268219384</v>
      </c>
      <c r="R352" t="str">
        <f>IF(Table1[[#This Row],[Profit Margin]]&gt;0,"profit","loss")</f>
        <v>profit</v>
      </c>
      <c r="S352" t="str">
        <f>IF(Table1[[#This Row],[Discount]]=0,"No Discount",IF(Table1[[#This Row],[Discount]]&lt;=0.2,"low",IF(Table1[[#This Row],[Discount]]&lt;=0.3,"medium","high")))</f>
        <v>low</v>
      </c>
      <c r="T352" s="15" t="str">
        <f>IF(Table1[[#This Row],[Days]]&lt;=2,"faster",IF(Table1[[#This Row],[Days]]&lt;=4,"Normal","slow"))</f>
        <v>slow</v>
      </c>
    </row>
    <row r="353" spans="1:20" x14ac:dyDescent="0.25">
      <c r="A353" s="4" t="s">
        <v>386</v>
      </c>
      <c r="B353" s="1">
        <v>45041</v>
      </c>
      <c r="C353" s="1">
        <v>45048</v>
      </c>
      <c r="D353" s="13">
        <f>Table1[[#This Row],[Shipped date]]-Table1[[#This Row],[Order Date]]</f>
        <v>7</v>
      </c>
      <c r="E353" t="s">
        <v>28</v>
      </c>
      <c r="F353" s="13" t="str">
        <f>TEXT(Table1[[#This Row],[Order Date]],"MMMM")</f>
        <v>April</v>
      </c>
      <c r="G353" s="13">
        <f t="shared" si="10"/>
        <v>2023</v>
      </c>
      <c r="H353" s="13" t="str">
        <f t="shared" si="11"/>
        <v>Q2</v>
      </c>
      <c r="I353" s="1" t="s">
        <v>37</v>
      </c>
      <c r="J353" s="7" t="s">
        <v>21</v>
      </c>
      <c r="K353" s="7" t="s">
        <v>22</v>
      </c>
      <c r="L353" t="s">
        <v>40</v>
      </c>
      <c r="M353" s="9">
        <v>419.82</v>
      </c>
      <c r="N353" s="4">
        <v>5</v>
      </c>
      <c r="O353" s="12">
        <v>0</v>
      </c>
      <c r="P353" s="9">
        <v>37.520000000000003</v>
      </c>
      <c r="Q353" s="10">
        <f>Table1[[#This Row],[Profit]]/Table1[[#This Row],[Sales]]</f>
        <v>8.93716354628174E-2</v>
      </c>
      <c r="R353" t="str">
        <f>IF(Table1[[#This Row],[Profit Margin]]&gt;0,"profit","loss")</f>
        <v>profit</v>
      </c>
      <c r="S353" t="str">
        <f>IF(Table1[[#This Row],[Discount]]=0,"No Discount",IF(Table1[[#This Row],[Discount]]&lt;=0.2,"low",IF(Table1[[#This Row],[Discount]]&lt;=0.3,"medium","high")))</f>
        <v>No Discount</v>
      </c>
      <c r="T353" s="15" t="str">
        <f>IF(Table1[[#This Row],[Days]]&lt;=2,"faster",IF(Table1[[#This Row],[Days]]&lt;=4,"Normal","slow"))</f>
        <v>slow</v>
      </c>
    </row>
    <row r="354" spans="1:20" x14ac:dyDescent="0.25">
      <c r="A354" s="4" t="s">
        <v>387</v>
      </c>
      <c r="B354" s="1">
        <v>45152</v>
      </c>
      <c r="C354" s="1">
        <v>45153</v>
      </c>
      <c r="D354" s="13">
        <f>Table1[[#This Row],[Shipped date]]-Table1[[#This Row],[Order Date]]</f>
        <v>1</v>
      </c>
      <c r="E354" t="s">
        <v>13</v>
      </c>
      <c r="F354" s="13" t="str">
        <f>TEXT(Table1[[#This Row],[Order Date]],"MMMM")</f>
        <v>August</v>
      </c>
      <c r="G354" s="13">
        <f t="shared" si="10"/>
        <v>2023</v>
      </c>
      <c r="H354" s="13" t="str">
        <f t="shared" si="11"/>
        <v>Q3</v>
      </c>
      <c r="I354" s="1" t="s">
        <v>14</v>
      </c>
      <c r="J354" s="7" t="s">
        <v>21</v>
      </c>
      <c r="K354" s="7" t="s">
        <v>29</v>
      </c>
      <c r="L354" t="s">
        <v>43</v>
      </c>
      <c r="M354" s="9">
        <v>246.45</v>
      </c>
      <c r="N354" s="4">
        <v>5</v>
      </c>
      <c r="O354" s="12">
        <v>0.2</v>
      </c>
      <c r="P354" s="9">
        <v>-9.26</v>
      </c>
      <c r="Q354" s="10">
        <f>Table1[[#This Row],[Profit]]/Table1[[#This Row],[Sales]]</f>
        <v>-3.7573544329478598E-2</v>
      </c>
      <c r="R354" t="str">
        <f>IF(Table1[[#This Row],[Profit Margin]]&gt;0,"profit","loss")</f>
        <v>loss</v>
      </c>
      <c r="S354" t="str">
        <f>IF(Table1[[#This Row],[Discount]]=0,"No Discount",IF(Table1[[#This Row],[Discount]]&lt;=0.2,"low",IF(Table1[[#This Row],[Discount]]&lt;=0.3,"medium","high")))</f>
        <v>low</v>
      </c>
      <c r="T354" s="15" t="str">
        <f>IF(Table1[[#This Row],[Days]]&lt;=2,"faster",IF(Table1[[#This Row],[Days]]&lt;=4,"Normal","slow"))</f>
        <v>faster</v>
      </c>
    </row>
    <row r="355" spans="1:20" x14ac:dyDescent="0.25">
      <c r="A355" s="4" t="s">
        <v>388</v>
      </c>
      <c r="B355" s="1">
        <v>45253</v>
      </c>
      <c r="C355" s="1">
        <v>45255</v>
      </c>
      <c r="D355" s="13">
        <f>Table1[[#This Row],[Shipped date]]-Table1[[#This Row],[Order Date]]</f>
        <v>2</v>
      </c>
      <c r="E355" t="s">
        <v>28</v>
      </c>
      <c r="F355" s="13" t="str">
        <f>TEXT(Table1[[#This Row],[Order Date]],"MMMM")</f>
        <v>November</v>
      </c>
      <c r="G355" s="13">
        <f t="shared" si="10"/>
        <v>2023</v>
      </c>
      <c r="H355" s="13" t="str">
        <f t="shared" si="11"/>
        <v>Q4</v>
      </c>
      <c r="I355" s="1" t="s">
        <v>37</v>
      </c>
      <c r="J355" s="7" t="s">
        <v>26</v>
      </c>
      <c r="K355" s="7" t="s">
        <v>29</v>
      </c>
      <c r="L355" t="s">
        <v>43</v>
      </c>
      <c r="M355" s="9">
        <v>603.15</v>
      </c>
      <c r="N355" s="4">
        <v>5</v>
      </c>
      <c r="O355" s="12">
        <v>0</v>
      </c>
      <c r="P355" s="9">
        <v>96.31</v>
      </c>
      <c r="Q355" s="10">
        <f>Table1[[#This Row],[Profit]]/Table1[[#This Row],[Sales]]</f>
        <v>0.15967835530133467</v>
      </c>
      <c r="R355" t="str">
        <f>IF(Table1[[#This Row],[Profit Margin]]&gt;0,"profit","loss")</f>
        <v>profit</v>
      </c>
      <c r="S355" t="str">
        <f>IF(Table1[[#This Row],[Discount]]=0,"No Discount",IF(Table1[[#This Row],[Discount]]&lt;=0.2,"low",IF(Table1[[#This Row],[Discount]]&lt;=0.3,"medium","high")))</f>
        <v>No Discount</v>
      </c>
      <c r="T355" s="15" t="str">
        <f>IF(Table1[[#This Row],[Days]]&lt;=2,"faster",IF(Table1[[#This Row],[Days]]&lt;=4,"Normal","slow"))</f>
        <v>faster</v>
      </c>
    </row>
    <row r="356" spans="1:20" x14ac:dyDescent="0.25">
      <c r="A356" s="4" t="s">
        <v>389</v>
      </c>
      <c r="B356" s="1">
        <v>45036</v>
      </c>
      <c r="C356" s="1">
        <v>45041</v>
      </c>
      <c r="D356" s="13">
        <f>Table1[[#This Row],[Shipped date]]-Table1[[#This Row],[Order Date]]</f>
        <v>5</v>
      </c>
      <c r="E356" t="s">
        <v>19</v>
      </c>
      <c r="F356" s="13" t="str">
        <f>TEXT(Table1[[#This Row],[Order Date]],"MMMM")</f>
        <v>April</v>
      </c>
      <c r="G356" s="13">
        <f t="shared" si="10"/>
        <v>2023</v>
      </c>
      <c r="H356" s="13" t="str">
        <f t="shared" si="11"/>
        <v>Q2</v>
      </c>
      <c r="I356" s="1" t="s">
        <v>20</v>
      </c>
      <c r="J356" s="7" t="s">
        <v>26</v>
      </c>
      <c r="K356" s="7" t="s">
        <v>29</v>
      </c>
      <c r="L356" t="s">
        <v>45</v>
      </c>
      <c r="M356" s="9">
        <v>194.97</v>
      </c>
      <c r="N356" s="4">
        <v>10</v>
      </c>
      <c r="O356" s="12">
        <v>0</v>
      </c>
      <c r="P356" s="9">
        <v>38.47</v>
      </c>
      <c r="Q356" s="10">
        <f>Table1[[#This Row],[Profit]]/Table1[[#This Row],[Sales]]</f>
        <v>0.19731240703698005</v>
      </c>
      <c r="R356" t="str">
        <f>IF(Table1[[#This Row],[Profit Margin]]&gt;0,"profit","loss")</f>
        <v>profit</v>
      </c>
      <c r="S356" t="str">
        <f>IF(Table1[[#This Row],[Discount]]=0,"No Discount",IF(Table1[[#This Row],[Discount]]&lt;=0.2,"low",IF(Table1[[#This Row],[Discount]]&lt;=0.3,"medium","high")))</f>
        <v>No Discount</v>
      </c>
      <c r="T356" s="15" t="str">
        <f>IF(Table1[[#This Row],[Days]]&lt;=2,"faster",IF(Table1[[#This Row],[Days]]&lt;=4,"Normal","slow"))</f>
        <v>slow</v>
      </c>
    </row>
    <row r="357" spans="1:20" x14ac:dyDescent="0.25">
      <c r="A357" s="4" t="s">
        <v>390</v>
      </c>
      <c r="B357" s="1">
        <v>45258</v>
      </c>
      <c r="C357" s="1">
        <v>45263</v>
      </c>
      <c r="D357" s="13">
        <f>Table1[[#This Row],[Shipped date]]-Table1[[#This Row],[Order Date]]</f>
        <v>5</v>
      </c>
      <c r="E357" t="s">
        <v>13</v>
      </c>
      <c r="F357" s="13" t="str">
        <f>TEXT(Table1[[#This Row],[Order Date]],"MMMM")</f>
        <v>November</v>
      </c>
      <c r="G357" s="13">
        <f t="shared" si="10"/>
        <v>2023</v>
      </c>
      <c r="H357" s="13" t="str">
        <f t="shared" si="11"/>
        <v>Q4</v>
      </c>
      <c r="I357" s="1" t="s">
        <v>20</v>
      </c>
      <c r="J357" s="7" t="s">
        <v>32</v>
      </c>
      <c r="K357" s="7" t="s">
        <v>16</v>
      </c>
      <c r="L357" t="s">
        <v>17</v>
      </c>
      <c r="M357" s="9">
        <v>726.4</v>
      </c>
      <c r="N357" s="4">
        <v>7</v>
      </c>
      <c r="O357" s="12">
        <v>0.2</v>
      </c>
      <c r="P357" s="9">
        <v>-75.62</v>
      </c>
      <c r="Q357" s="10">
        <f>Table1[[#This Row],[Profit]]/Table1[[#This Row],[Sales]]</f>
        <v>-0.104102422907489</v>
      </c>
      <c r="R357" t="str">
        <f>IF(Table1[[#This Row],[Profit Margin]]&gt;0,"profit","loss")</f>
        <v>loss</v>
      </c>
      <c r="S357" t="str">
        <f>IF(Table1[[#This Row],[Discount]]=0,"No Discount",IF(Table1[[#This Row],[Discount]]&lt;=0.2,"low",IF(Table1[[#This Row],[Discount]]&lt;=0.3,"medium","high")))</f>
        <v>low</v>
      </c>
      <c r="T357" s="15" t="str">
        <f>IF(Table1[[#This Row],[Days]]&lt;=2,"faster",IF(Table1[[#This Row],[Days]]&lt;=4,"Normal","slow"))</f>
        <v>slow</v>
      </c>
    </row>
    <row r="358" spans="1:20" x14ac:dyDescent="0.25">
      <c r="A358" s="4" t="s">
        <v>391</v>
      </c>
      <c r="B358" s="1">
        <v>45037</v>
      </c>
      <c r="C358" s="1">
        <v>45039</v>
      </c>
      <c r="D358" s="13">
        <f>Table1[[#This Row],[Shipped date]]-Table1[[#This Row],[Order Date]]</f>
        <v>2</v>
      </c>
      <c r="E358" t="s">
        <v>25</v>
      </c>
      <c r="F358" s="13" t="str">
        <f>TEXT(Table1[[#This Row],[Order Date]],"MMMM")</f>
        <v>April</v>
      </c>
      <c r="G358" s="13">
        <f t="shared" si="10"/>
        <v>2023</v>
      </c>
      <c r="H358" s="13" t="str">
        <f t="shared" si="11"/>
        <v>Q2</v>
      </c>
      <c r="I358" s="1" t="s">
        <v>37</v>
      </c>
      <c r="J358" s="7" t="s">
        <v>21</v>
      </c>
      <c r="K358" s="7" t="s">
        <v>29</v>
      </c>
      <c r="L358" t="s">
        <v>43</v>
      </c>
      <c r="M358" s="9">
        <v>727.82</v>
      </c>
      <c r="N358" s="4">
        <v>5</v>
      </c>
      <c r="O358" s="12">
        <v>0.3</v>
      </c>
      <c r="P358" s="9">
        <v>-109.08</v>
      </c>
      <c r="Q358" s="10">
        <f>Table1[[#This Row],[Profit]]/Table1[[#This Row],[Sales]]</f>
        <v>-0.14987222115358192</v>
      </c>
      <c r="R358" t="str">
        <f>IF(Table1[[#This Row],[Profit Margin]]&gt;0,"profit","loss")</f>
        <v>loss</v>
      </c>
      <c r="S358" t="str">
        <f>IF(Table1[[#This Row],[Discount]]=0,"No Discount",IF(Table1[[#This Row],[Discount]]&lt;=0.2,"low",IF(Table1[[#This Row],[Discount]]&lt;=0.3,"medium","high")))</f>
        <v>medium</v>
      </c>
      <c r="T358" s="15" t="str">
        <f>IF(Table1[[#This Row],[Days]]&lt;=2,"faster",IF(Table1[[#This Row],[Days]]&lt;=4,"Normal","slow"))</f>
        <v>faster</v>
      </c>
    </row>
    <row r="359" spans="1:20" x14ac:dyDescent="0.25">
      <c r="A359" s="4" t="s">
        <v>392</v>
      </c>
      <c r="B359" s="1">
        <v>44971</v>
      </c>
      <c r="C359" s="1">
        <v>44978</v>
      </c>
      <c r="D359" s="13">
        <f>Table1[[#This Row],[Shipped date]]-Table1[[#This Row],[Order Date]]</f>
        <v>7</v>
      </c>
      <c r="E359" t="s">
        <v>25</v>
      </c>
      <c r="F359" s="13" t="str">
        <f>TEXT(Table1[[#This Row],[Order Date]],"MMMM")</f>
        <v>February</v>
      </c>
      <c r="G359" s="13">
        <f t="shared" si="10"/>
        <v>2023</v>
      </c>
      <c r="H359" s="13" t="str">
        <f t="shared" si="11"/>
        <v>Q1</v>
      </c>
      <c r="I359" s="1" t="s">
        <v>14</v>
      </c>
      <c r="J359" s="7" t="s">
        <v>15</v>
      </c>
      <c r="K359" s="7" t="s">
        <v>29</v>
      </c>
      <c r="L359" t="s">
        <v>45</v>
      </c>
      <c r="M359" s="9">
        <v>963.4</v>
      </c>
      <c r="N359" s="4">
        <v>6</v>
      </c>
      <c r="O359" s="12">
        <v>0.3</v>
      </c>
      <c r="P359" s="9">
        <v>-165.91</v>
      </c>
      <c r="Q359" s="10">
        <f>Table1[[#This Row],[Profit]]/Table1[[#This Row],[Sales]]</f>
        <v>-0.1722129956404401</v>
      </c>
      <c r="R359" t="str">
        <f>IF(Table1[[#This Row],[Profit Margin]]&gt;0,"profit","loss")</f>
        <v>loss</v>
      </c>
      <c r="S359" t="str">
        <f>IF(Table1[[#This Row],[Discount]]=0,"No Discount",IF(Table1[[#This Row],[Discount]]&lt;=0.2,"low",IF(Table1[[#This Row],[Discount]]&lt;=0.3,"medium","high")))</f>
        <v>medium</v>
      </c>
      <c r="T359" s="15" t="str">
        <f>IF(Table1[[#This Row],[Days]]&lt;=2,"faster",IF(Table1[[#This Row],[Days]]&lt;=4,"Normal","slow"))</f>
        <v>slow</v>
      </c>
    </row>
    <row r="360" spans="1:20" x14ac:dyDescent="0.25">
      <c r="A360" s="4" t="s">
        <v>393</v>
      </c>
      <c r="B360" s="1">
        <v>45008</v>
      </c>
      <c r="C360" s="1">
        <v>45011</v>
      </c>
      <c r="D360" s="13">
        <f>Table1[[#This Row],[Shipped date]]-Table1[[#This Row],[Order Date]]</f>
        <v>3</v>
      </c>
      <c r="E360" t="s">
        <v>28</v>
      </c>
      <c r="F360" s="13" t="str">
        <f>TEXT(Table1[[#This Row],[Order Date]],"MMMM")</f>
        <v>March</v>
      </c>
      <c r="G360" s="13">
        <f t="shared" si="10"/>
        <v>2023</v>
      </c>
      <c r="H360" s="13" t="str">
        <f t="shared" si="11"/>
        <v>Q1</v>
      </c>
      <c r="I360" s="1" t="s">
        <v>20</v>
      </c>
      <c r="J360" s="7" t="s">
        <v>26</v>
      </c>
      <c r="K360" s="7" t="s">
        <v>22</v>
      </c>
      <c r="L360" t="s">
        <v>40</v>
      </c>
      <c r="M360" s="9">
        <v>220.88</v>
      </c>
      <c r="N360" s="4">
        <v>4</v>
      </c>
      <c r="O360" s="12">
        <v>0.2</v>
      </c>
      <c r="P360" s="9">
        <v>-19.41</v>
      </c>
      <c r="Q360" s="10">
        <f>Table1[[#This Row],[Profit]]/Table1[[#This Row],[Sales]]</f>
        <v>-8.787576964867802E-2</v>
      </c>
      <c r="R360" t="str">
        <f>IF(Table1[[#This Row],[Profit Margin]]&gt;0,"profit","loss")</f>
        <v>loss</v>
      </c>
      <c r="S360" t="str">
        <f>IF(Table1[[#This Row],[Discount]]=0,"No Discount",IF(Table1[[#This Row],[Discount]]&lt;=0.2,"low",IF(Table1[[#This Row],[Discount]]&lt;=0.3,"medium","high")))</f>
        <v>low</v>
      </c>
      <c r="T360" s="15" t="str">
        <f>IF(Table1[[#This Row],[Days]]&lt;=2,"faster",IF(Table1[[#This Row],[Days]]&lt;=4,"Normal","slow"))</f>
        <v>Normal</v>
      </c>
    </row>
    <row r="361" spans="1:20" x14ac:dyDescent="0.25">
      <c r="A361" s="4" t="s">
        <v>394</v>
      </c>
      <c r="B361" s="1">
        <v>44934</v>
      </c>
      <c r="C361" s="1">
        <v>44935</v>
      </c>
      <c r="D361" s="13">
        <f>Table1[[#This Row],[Shipped date]]-Table1[[#This Row],[Order Date]]</f>
        <v>1</v>
      </c>
      <c r="E361" t="s">
        <v>25</v>
      </c>
      <c r="F361" s="13" t="str">
        <f>TEXT(Table1[[#This Row],[Order Date]],"MMMM")</f>
        <v>January</v>
      </c>
      <c r="G361" s="13">
        <f t="shared" si="10"/>
        <v>2023</v>
      </c>
      <c r="H361" s="13" t="str">
        <f t="shared" si="11"/>
        <v>Q1</v>
      </c>
      <c r="I361" s="1" t="s">
        <v>14</v>
      </c>
      <c r="J361" s="7" t="s">
        <v>26</v>
      </c>
      <c r="K361" s="7" t="s">
        <v>29</v>
      </c>
      <c r="L361" t="s">
        <v>43</v>
      </c>
      <c r="M361" s="9">
        <v>105.19</v>
      </c>
      <c r="N361" s="4">
        <v>1</v>
      </c>
      <c r="O361" s="12">
        <v>0.1</v>
      </c>
      <c r="P361" s="9">
        <v>-14.01</v>
      </c>
      <c r="Q361" s="10">
        <f>Table1[[#This Row],[Profit]]/Table1[[#This Row],[Sales]]</f>
        <v>-0.13318756535792375</v>
      </c>
      <c r="R361" t="str">
        <f>IF(Table1[[#This Row],[Profit Margin]]&gt;0,"profit","loss")</f>
        <v>loss</v>
      </c>
      <c r="S361" t="str">
        <f>IF(Table1[[#This Row],[Discount]]=0,"No Discount",IF(Table1[[#This Row],[Discount]]&lt;=0.2,"low",IF(Table1[[#This Row],[Discount]]&lt;=0.3,"medium","high")))</f>
        <v>low</v>
      </c>
      <c r="T361" s="15" t="str">
        <f>IF(Table1[[#This Row],[Days]]&lt;=2,"faster",IF(Table1[[#This Row],[Days]]&lt;=4,"Normal","slow"))</f>
        <v>faster</v>
      </c>
    </row>
    <row r="362" spans="1:20" x14ac:dyDescent="0.25">
      <c r="A362" s="4" t="s">
        <v>395</v>
      </c>
      <c r="B362" s="1">
        <v>45276</v>
      </c>
      <c r="C362" s="1">
        <v>45278</v>
      </c>
      <c r="D362" s="13">
        <f>Table1[[#This Row],[Shipped date]]-Table1[[#This Row],[Order Date]]</f>
        <v>2</v>
      </c>
      <c r="E362" t="s">
        <v>28</v>
      </c>
      <c r="F362" s="13" t="str">
        <f>TEXT(Table1[[#This Row],[Order Date]],"MMMM")</f>
        <v>December</v>
      </c>
      <c r="G362" s="13">
        <f t="shared" si="10"/>
        <v>2023</v>
      </c>
      <c r="H362" s="13" t="str">
        <f t="shared" si="11"/>
        <v>Q4</v>
      </c>
      <c r="I362" s="1" t="s">
        <v>20</v>
      </c>
      <c r="J362" s="7" t="s">
        <v>26</v>
      </c>
      <c r="K362" s="7" t="s">
        <v>22</v>
      </c>
      <c r="L362" t="s">
        <v>35</v>
      </c>
      <c r="M362" s="9">
        <v>223.73</v>
      </c>
      <c r="N362" s="4">
        <v>8</v>
      </c>
      <c r="O362" s="12">
        <v>0.2</v>
      </c>
      <c r="P362" s="9">
        <v>-33.78</v>
      </c>
      <c r="Q362" s="10">
        <f>Table1[[#This Row],[Profit]]/Table1[[#This Row],[Sales]]</f>
        <v>-0.15098556295534798</v>
      </c>
      <c r="R362" t="str">
        <f>IF(Table1[[#This Row],[Profit Margin]]&gt;0,"profit","loss")</f>
        <v>loss</v>
      </c>
      <c r="S362" t="str">
        <f>IF(Table1[[#This Row],[Discount]]=0,"No Discount",IF(Table1[[#This Row],[Discount]]&lt;=0.2,"low",IF(Table1[[#This Row],[Discount]]&lt;=0.3,"medium","high")))</f>
        <v>low</v>
      </c>
      <c r="T362" s="15" t="str">
        <f>IF(Table1[[#This Row],[Days]]&lt;=2,"faster",IF(Table1[[#This Row],[Days]]&lt;=4,"Normal","slow"))</f>
        <v>faster</v>
      </c>
    </row>
    <row r="363" spans="1:20" x14ac:dyDescent="0.25">
      <c r="A363" s="4" t="s">
        <v>396</v>
      </c>
      <c r="B363" s="1">
        <v>45228</v>
      </c>
      <c r="C363" s="1">
        <v>45232</v>
      </c>
      <c r="D363" s="13">
        <f>Table1[[#This Row],[Shipped date]]-Table1[[#This Row],[Order Date]]</f>
        <v>4</v>
      </c>
      <c r="E363" t="s">
        <v>19</v>
      </c>
      <c r="F363" s="13" t="str">
        <f>TEXT(Table1[[#This Row],[Order Date]],"MMMM")</f>
        <v>October</v>
      </c>
      <c r="G363" s="13">
        <f t="shared" si="10"/>
        <v>2023</v>
      </c>
      <c r="H363" s="13" t="str">
        <f t="shared" si="11"/>
        <v>Q4</v>
      </c>
      <c r="I363" s="1" t="s">
        <v>14</v>
      </c>
      <c r="J363" s="7" t="s">
        <v>15</v>
      </c>
      <c r="K363" s="7" t="s">
        <v>29</v>
      </c>
      <c r="L363" t="s">
        <v>43</v>
      </c>
      <c r="M363" s="9">
        <v>878.92</v>
      </c>
      <c r="N363" s="4">
        <v>8</v>
      </c>
      <c r="O363" s="12">
        <v>0</v>
      </c>
      <c r="P363" s="9">
        <v>97.39</v>
      </c>
      <c r="Q363" s="10">
        <f>Table1[[#This Row],[Profit]]/Table1[[#This Row],[Sales]]</f>
        <v>0.11080644427251628</v>
      </c>
      <c r="R363" t="str">
        <f>IF(Table1[[#This Row],[Profit Margin]]&gt;0,"profit","loss")</f>
        <v>profit</v>
      </c>
      <c r="S363" t="str">
        <f>IF(Table1[[#This Row],[Discount]]=0,"No Discount",IF(Table1[[#This Row],[Discount]]&lt;=0.2,"low",IF(Table1[[#This Row],[Discount]]&lt;=0.3,"medium","high")))</f>
        <v>No Discount</v>
      </c>
      <c r="T363" s="15" t="str">
        <f>IF(Table1[[#This Row],[Days]]&lt;=2,"faster",IF(Table1[[#This Row],[Days]]&lt;=4,"Normal","slow"))</f>
        <v>Normal</v>
      </c>
    </row>
    <row r="364" spans="1:20" x14ac:dyDescent="0.25">
      <c r="A364" s="4" t="s">
        <v>397</v>
      </c>
      <c r="B364" s="1">
        <v>45136</v>
      </c>
      <c r="C364" s="1">
        <v>45137</v>
      </c>
      <c r="D364" s="13">
        <f>Table1[[#This Row],[Shipped date]]-Table1[[#This Row],[Order Date]]</f>
        <v>1</v>
      </c>
      <c r="E364" t="s">
        <v>19</v>
      </c>
      <c r="F364" s="13" t="str">
        <f>TEXT(Table1[[#This Row],[Order Date]],"MMMM")</f>
        <v>July</v>
      </c>
      <c r="G364" s="13">
        <f t="shared" si="10"/>
        <v>2023</v>
      </c>
      <c r="H364" s="13" t="str">
        <f t="shared" si="11"/>
        <v>Q3</v>
      </c>
      <c r="I364" s="1" t="s">
        <v>14</v>
      </c>
      <c r="J364" s="7" t="s">
        <v>32</v>
      </c>
      <c r="K364" s="7" t="s">
        <v>16</v>
      </c>
      <c r="L364" t="s">
        <v>38</v>
      </c>
      <c r="M364" s="9">
        <v>894.82</v>
      </c>
      <c r="N364" s="4">
        <v>1</v>
      </c>
      <c r="O364" s="12">
        <v>0.2</v>
      </c>
      <c r="P364" s="9">
        <v>-65.75</v>
      </c>
      <c r="Q364" s="10">
        <f>Table1[[#This Row],[Profit]]/Table1[[#This Row],[Sales]]</f>
        <v>-7.3478464942670033E-2</v>
      </c>
      <c r="R364" t="str">
        <f>IF(Table1[[#This Row],[Profit Margin]]&gt;0,"profit","loss")</f>
        <v>loss</v>
      </c>
      <c r="S364" t="str">
        <f>IF(Table1[[#This Row],[Discount]]=0,"No Discount",IF(Table1[[#This Row],[Discount]]&lt;=0.2,"low",IF(Table1[[#This Row],[Discount]]&lt;=0.3,"medium","high")))</f>
        <v>low</v>
      </c>
      <c r="T364" s="15" t="str">
        <f>IF(Table1[[#This Row],[Days]]&lt;=2,"faster",IF(Table1[[#This Row],[Days]]&lt;=4,"Normal","slow"))</f>
        <v>faster</v>
      </c>
    </row>
    <row r="365" spans="1:20" x14ac:dyDescent="0.25">
      <c r="A365" s="4" t="s">
        <v>398</v>
      </c>
      <c r="B365" s="1">
        <v>45092</v>
      </c>
      <c r="C365" s="1">
        <v>45096</v>
      </c>
      <c r="D365" s="13">
        <f>Table1[[#This Row],[Shipped date]]-Table1[[#This Row],[Order Date]]</f>
        <v>4</v>
      </c>
      <c r="E365" t="s">
        <v>28</v>
      </c>
      <c r="F365" s="13" t="str">
        <f>TEXT(Table1[[#This Row],[Order Date]],"MMMM")</f>
        <v>June</v>
      </c>
      <c r="G365" s="13">
        <f t="shared" si="10"/>
        <v>2023</v>
      </c>
      <c r="H365" s="13" t="str">
        <f t="shared" si="11"/>
        <v>Q2</v>
      </c>
      <c r="I365" s="1" t="s">
        <v>20</v>
      </c>
      <c r="J365" s="7" t="s">
        <v>32</v>
      </c>
      <c r="K365" s="7" t="s">
        <v>22</v>
      </c>
      <c r="L365" t="s">
        <v>35</v>
      </c>
      <c r="M365" s="9">
        <v>349.15</v>
      </c>
      <c r="N365" s="4">
        <v>8</v>
      </c>
      <c r="O365" s="12">
        <v>0.2</v>
      </c>
      <c r="P365" s="9">
        <v>-28.34</v>
      </c>
      <c r="Q365" s="10">
        <f>Table1[[#This Row],[Profit]]/Table1[[#This Row],[Sales]]</f>
        <v>-8.1168552198195618E-2</v>
      </c>
      <c r="R365" t="str">
        <f>IF(Table1[[#This Row],[Profit Margin]]&gt;0,"profit","loss")</f>
        <v>loss</v>
      </c>
      <c r="S365" t="str">
        <f>IF(Table1[[#This Row],[Discount]]=0,"No Discount",IF(Table1[[#This Row],[Discount]]&lt;=0.2,"low",IF(Table1[[#This Row],[Discount]]&lt;=0.3,"medium","high")))</f>
        <v>low</v>
      </c>
      <c r="T365" s="15" t="str">
        <f>IF(Table1[[#This Row],[Days]]&lt;=2,"faster",IF(Table1[[#This Row],[Days]]&lt;=4,"Normal","slow"))</f>
        <v>Normal</v>
      </c>
    </row>
    <row r="366" spans="1:20" x14ac:dyDescent="0.25">
      <c r="A366" s="4" t="s">
        <v>399</v>
      </c>
      <c r="B366" s="1">
        <v>45188</v>
      </c>
      <c r="C366" s="1">
        <v>45192</v>
      </c>
      <c r="D366" s="13">
        <f>Table1[[#This Row],[Shipped date]]-Table1[[#This Row],[Order Date]]</f>
        <v>4</v>
      </c>
      <c r="E366" t="s">
        <v>25</v>
      </c>
      <c r="F366" s="13" t="str">
        <f>TEXT(Table1[[#This Row],[Order Date]],"MMMM")</f>
        <v>September</v>
      </c>
      <c r="G366" s="13">
        <f t="shared" si="10"/>
        <v>2023</v>
      </c>
      <c r="H366" s="13" t="str">
        <f t="shared" si="11"/>
        <v>Q3</v>
      </c>
      <c r="I366" s="1" t="s">
        <v>37</v>
      </c>
      <c r="J366" s="7" t="s">
        <v>26</v>
      </c>
      <c r="K366" s="7" t="s">
        <v>29</v>
      </c>
      <c r="L366" t="s">
        <v>43</v>
      </c>
      <c r="M366" s="9">
        <v>598.49</v>
      </c>
      <c r="N366" s="4">
        <v>2</v>
      </c>
      <c r="O366" s="12">
        <v>0.3</v>
      </c>
      <c r="P366" s="9">
        <v>-81.55</v>
      </c>
      <c r="Q366" s="10">
        <f>Table1[[#This Row],[Profit]]/Table1[[#This Row],[Sales]]</f>
        <v>-0.13625958662634297</v>
      </c>
      <c r="R366" t="str">
        <f>IF(Table1[[#This Row],[Profit Margin]]&gt;0,"profit","loss")</f>
        <v>loss</v>
      </c>
      <c r="S366" t="str">
        <f>IF(Table1[[#This Row],[Discount]]=0,"No Discount",IF(Table1[[#This Row],[Discount]]&lt;=0.2,"low",IF(Table1[[#This Row],[Discount]]&lt;=0.3,"medium","high")))</f>
        <v>medium</v>
      </c>
      <c r="T366" s="15" t="str">
        <f>IF(Table1[[#This Row],[Days]]&lt;=2,"faster",IF(Table1[[#This Row],[Days]]&lt;=4,"Normal","slow"))</f>
        <v>Normal</v>
      </c>
    </row>
    <row r="367" spans="1:20" x14ac:dyDescent="0.25">
      <c r="A367" s="4" t="s">
        <v>400</v>
      </c>
      <c r="B367" s="1">
        <v>45245</v>
      </c>
      <c r="C367" s="1">
        <v>45247</v>
      </c>
      <c r="D367" s="13">
        <f>Table1[[#This Row],[Shipped date]]-Table1[[#This Row],[Order Date]]</f>
        <v>2</v>
      </c>
      <c r="E367" t="s">
        <v>28</v>
      </c>
      <c r="F367" s="13" t="str">
        <f>TEXT(Table1[[#This Row],[Order Date]],"MMMM")</f>
        <v>November</v>
      </c>
      <c r="G367" s="13">
        <f t="shared" si="10"/>
        <v>2023</v>
      </c>
      <c r="H367" s="13" t="str">
        <f t="shared" si="11"/>
        <v>Q4</v>
      </c>
      <c r="I367" s="1" t="s">
        <v>20</v>
      </c>
      <c r="J367" s="7" t="s">
        <v>26</v>
      </c>
      <c r="K367" s="7" t="s">
        <v>29</v>
      </c>
      <c r="L367" t="s">
        <v>43</v>
      </c>
      <c r="M367" s="9">
        <v>358.29</v>
      </c>
      <c r="N367" s="4">
        <v>8</v>
      </c>
      <c r="O367" s="12">
        <v>0.3</v>
      </c>
      <c r="P367" s="9">
        <v>-53.01</v>
      </c>
      <c r="Q367" s="10">
        <f>Table1[[#This Row],[Profit]]/Table1[[#This Row],[Sales]]</f>
        <v>-0.14795277568450138</v>
      </c>
      <c r="R367" t="str">
        <f>IF(Table1[[#This Row],[Profit Margin]]&gt;0,"profit","loss")</f>
        <v>loss</v>
      </c>
      <c r="S367" t="str">
        <f>IF(Table1[[#This Row],[Discount]]=0,"No Discount",IF(Table1[[#This Row],[Discount]]&lt;=0.2,"low",IF(Table1[[#This Row],[Discount]]&lt;=0.3,"medium","high")))</f>
        <v>medium</v>
      </c>
      <c r="T367" s="15" t="str">
        <f>IF(Table1[[#This Row],[Days]]&lt;=2,"faster",IF(Table1[[#This Row],[Days]]&lt;=4,"Normal","slow"))</f>
        <v>faster</v>
      </c>
    </row>
    <row r="368" spans="1:20" x14ac:dyDescent="0.25">
      <c r="A368" s="4" t="s">
        <v>401</v>
      </c>
      <c r="B368" s="1">
        <v>45181</v>
      </c>
      <c r="C368" s="1">
        <v>45184</v>
      </c>
      <c r="D368" s="13">
        <f>Table1[[#This Row],[Shipped date]]-Table1[[#This Row],[Order Date]]</f>
        <v>3</v>
      </c>
      <c r="E368" t="s">
        <v>28</v>
      </c>
      <c r="F368" s="13" t="str">
        <f>TEXT(Table1[[#This Row],[Order Date]],"MMMM")</f>
        <v>September</v>
      </c>
      <c r="G368" s="13">
        <f t="shared" si="10"/>
        <v>2023</v>
      </c>
      <c r="H368" s="13" t="str">
        <f t="shared" si="11"/>
        <v>Q3</v>
      </c>
      <c r="I368" s="1" t="s">
        <v>20</v>
      </c>
      <c r="J368" s="7" t="s">
        <v>32</v>
      </c>
      <c r="K368" s="7" t="s">
        <v>22</v>
      </c>
      <c r="L368" t="s">
        <v>40</v>
      </c>
      <c r="M368" s="9">
        <v>447.4</v>
      </c>
      <c r="N368" s="4">
        <v>9</v>
      </c>
      <c r="O368" s="12">
        <v>0.3</v>
      </c>
      <c r="P368" s="9">
        <v>-94.11</v>
      </c>
      <c r="Q368" s="10">
        <f>Table1[[#This Row],[Profit]]/Table1[[#This Row],[Sales]]</f>
        <v>-0.21034868126955744</v>
      </c>
      <c r="R368" t="str">
        <f>IF(Table1[[#This Row],[Profit Margin]]&gt;0,"profit","loss")</f>
        <v>loss</v>
      </c>
      <c r="S368" t="str">
        <f>IF(Table1[[#This Row],[Discount]]=0,"No Discount",IF(Table1[[#This Row],[Discount]]&lt;=0.2,"low",IF(Table1[[#This Row],[Discount]]&lt;=0.3,"medium","high")))</f>
        <v>medium</v>
      </c>
      <c r="T368" s="15" t="str">
        <f>IF(Table1[[#This Row],[Days]]&lt;=2,"faster",IF(Table1[[#This Row],[Days]]&lt;=4,"Normal","slow"))</f>
        <v>Normal</v>
      </c>
    </row>
    <row r="369" spans="1:20" x14ac:dyDescent="0.25">
      <c r="A369" s="4" t="s">
        <v>402</v>
      </c>
      <c r="B369" s="1">
        <v>45013</v>
      </c>
      <c r="C369" s="1">
        <v>45016</v>
      </c>
      <c r="D369" s="13">
        <f>Table1[[#This Row],[Shipped date]]-Table1[[#This Row],[Order Date]]</f>
        <v>3</v>
      </c>
      <c r="E369" t="s">
        <v>19</v>
      </c>
      <c r="F369" s="13" t="str">
        <f>TEXT(Table1[[#This Row],[Order Date]],"MMMM")</f>
        <v>March</v>
      </c>
      <c r="G369" s="13">
        <f t="shared" si="10"/>
        <v>2023</v>
      </c>
      <c r="H369" s="13" t="str">
        <f t="shared" si="11"/>
        <v>Q1</v>
      </c>
      <c r="I369" s="1" t="s">
        <v>20</v>
      </c>
      <c r="J369" s="7" t="s">
        <v>32</v>
      </c>
      <c r="K369" s="7" t="s">
        <v>16</v>
      </c>
      <c r="L369" t="s">
        <v>33</v>
      </c>
      <c r="M369" s="9">
        <v>975.06</v>
      </c>
      <c r="N369" s="4">
        <v>8</v>
      </c>
      <c r="O369" s="12">
        <v>0.3</v>
      </c>
      <c r="P369" s="9">
        <v>-205.2</v>
      </c>
      <c r="Q369" s="10">
        <f>Table1[[#This Row],[Profit]]/Table1[[#This Row],[Sales]]</f>
        <v>-0.21044858777921358</v>
      </c>
      <c r="R369" t="str">
        <f>IF(Table1[[#This Row],[Profit Margin]]&gt;0,"profit","loss")</f>
        <v>loss</v>
      </c>
      <c r="S369" t="str">
        <f>IF(Table1[[#This Row],[Discount]]=0,"No Discount",IF(Table1[[#This Row],[Discount]]&lt;=0.2,"low",IF(Table1[[#This Row],[Discount]]&lt;=0.3,"medium","high")))</f>
        <v>medium</v>
      </c>
      <c r="T369" s="15" t="str">
        <f>IF(Table1[[#This Row],[Days]]&lt;=2,"faster",IF(Table1[[#This Row],[Days]]&lt;=4,"Normal","slow"))</f>
        <v>Normal</v>
      </c>
    </row>
    <row r="370" spans="1:20" x14ac:dyDescent="0.25">
      <c r="A370" s="4" t="s">
        <v>403</v>
      </c>
      <c r="B370" s="1">
        <v>45287</v>
      </c>
      <c r="C370" s="1">
        <v>45292</v>
      </c>
      <c r="D370" s="13">
        <f>Table1[[#This Row],[Shipped date]]-Table1[[#This Row],[Order Date]]</f>
        <v>5</v>
      </c>
      <c r="E370" t="s">
        <v>13</v>
      </c>
      <c r="F370" s="13" t="str">
        <f>TEXT(Table1[[#This Row],[Order Date]],"MMMM")</f>
        <v>December</v>
      </c>
      <c r="G370" s="13">
        <f t="shared" si="10"/>
        <v>2023</v>
      </c>
      <c r="H370" s="13" t="str">
        <f t="shared" si="11"/>
        <v>Q4</v>
      </c>
      <c r="I370" s="1" t="s">
        <v>37</v>
      </c>
      <c r="J370" s="7" t="s">
        <v>32</v>
      </c>
      <c r="K370" s="7" t="s">
        <v>29</v>
      </c>
      <c r="L370" t="s">
        <v>43</v>
      </c>
      <c r="M370" s="9">
        <v>871.1</v>
      </c>
      <c r="N370" s="4">
        <v>2</v>
      </c>
      <c r="O370" s="12">
        <v>0.3</v>
      </c>
      <c r="P370" s="9">
        <v>-125.24</v>
      </c>
      <c r="Q370" s="10">
        <f>Table1[[#This Row],[Profit]]/Table1[[#This Row],[Sales]]</f>
        <v>-0.14377224199288255</v>
      </c>
      <c r="R370" t="str">
        <f>IF(Table1[[#This Row],[Profit Margin]]&gt;0,"profit","loss")</f>
        <v>loss</v>
      </c>
      <c r="S370" t="str">
        <f>IF(Table1[[#This Row],[Discount]]=0,"No Discount",IF(Table1[[#This Row],[Discount]]&lt;=0.2,"low",IF(Table1[[#This Row],[Discount]]&lt;=0.3,"medium","high")))</f>
        <v>medium</v>
      </c>
      <c r="T370" s="15" t="str">
        <f>IF(Table1[[#This Row],[Days]]&lt;=2,"faster",IF(Table1[[#This Row],[Days]]&lt;=4,"Normal","slow"))</f>
        <v>slow</v>
      </c>
    </row>
    <row r="371" spans="1:20" x14ac:dyDescent="0.25">
      <c r="A371" s="4" t="s">
        <v>404</v>
      </c>
      <c r="B371" s="1">
        <v>45280</v>
      </c>
      <c r="C371" s="1">
        <v>45286</v>
      </c>
      <c r="D371" s="13">
        <f>Table1[[#This Row],[Shipped date]]-Table1[[#This Row],[Order Date]]</f>
        <v>6</v>
      </c>
      <c r="E371" t="s">
        <v>13</v>
      </c>
      <c r="F371" s="13" t="str">
        <f>TEXT(Table1[[#This Row],[Order Date]],"MMMM")</f>
        <v>December</v>
      </c>
      <c r="G371" s="13">
        <f t="shared" si="10"/>
        <v>2023</v>
      </c>
      <c r="H371" s="13" t="str">
        <f t="shared" si="11"/>
        <v>Q4</v>
      </c>
      <c r="I371" s="1" t="s">
        <v>20</v>
      </c>
      <c r="J371" s="7" t="s">
        <v>15</v>
      </c>
      <c r="K371" s="7" t="s">
        <v>29</v>
      </c>
      <c r="L371" t="s">
        <v>43</v>
      </c>
      <c r="M371" s="9">
        <v>481.64</v>
      </c>
      <c r="N371" s="4">
        <v>6</v>
      </c>
      <c r="O371" s="12">
        <v>0.3</v>
      </c>
      <c r="P371" s="9">
        <v>-86.56</v>
      </c>
      <c r="Q371" s="10">
        <f>Table1[[#This Row],[Profit]]/Table1[[#This Row],[Sales]]</f>
        <v>-0.17971929241757331</v>
      </c>
      <c r="R371" t="str">
        <f>IF(Table1[[#This Row],[Profit Margin]]&gt;0,"profit","loss")</f>
        <v>loss</v>
      </c>
      <c r="S371" t="str">
        <f>IF(Table1[[#This Row],[Discount]]=0,"No Discount",IF(Table1[[#This Row],[Discount]]&lt;=0.2,"low",IF(Table1[[#This Row],[Discount]]&lt;=0.3,"medium","high")))</f>
        <v>medium</v>
      </c>
      <c r="T371" s="15" t="str">
        <f>IF(Table1[[#This Row],[Days]]&lt;=2,"faster",IF(Table1[[#This Row],[Days]]&lt;=4,"Normal","slow"))</f>
        <v>slow</v>
      </c>
    </row>
    <row r="372" spans="1:20" x14ac:dyDescent="0.25">
      <c r="A372" s="4" t="s">
        <v>405</v>
      </c>
      <c r="B372" s="1">
        <v>45258</v>
      </c>
      <c r="C372" s="1">
        <v>45265</v>
      </c>
      <c r="D372" s="13">
        <f>Table1[[#This Row],[Shipped date]]-Table1[[#This Row],[Order Date]]</f>
        <v>7</v>
      </c>
      <c r="E372" t="s">
        <v>28</v>
      </c>
      <c r="F372" s="13" t="str">
        <f>TEXT(Table1[[#This Row],[Order Date]],"MMMM")</f>
        <v>November</v>
      </c>
      <c r="G372" s="13">
        <f t="shared" si="10"/>
        <v>2023</v>
      </c>
      <c r="H372" s="13" t="str">
        <f t="shared" si="11"/>
        <v>Q4</v>
      </c>
      <c r="I372" s="1" t="s">
        <v>14</v>
      </c>
      <c r="J372" s="7" t="s">
        <v>15</v>
      </c>
      <c r="K372" s="7" t="s">
        <v>22</v>
      </c>
      <c r="L372" t="s">
        <v>40</v>
      </c>
      <c r="M372" s="9">
        <v>42.02</v>
      </c>
      <c r="N372" s="4">
        <v>5</v>
      </c>
      <c r="O372" s="12">
        <v>0.1</v>
      </c>
      <c r="P372" s="9">
        <v>31.92</v>
      </c>
      <c r="Q372" s="10">
        <f>Table1[[#This Row],[Profit]]/Table1[[#This Row],[Sales]]</f>
        <v>0.75963826749167063</v>
      </c>
      <c r="R372" t="str">
        <f>IF(Table1[[#This Row],[Profit Margin]]&gt;0,"profit","loss")</f>
        <v>profit</v>
      </c>
      <c r="S372" t="str">
        <f>IF(Table1[[#This Row],[Discount]]=0,"No Discount",IF(Table1[[#This Row],[Discount]]&lt;=0.2,"low",IF(Table1[[#This Row],[Discount]]&lt;=0.3,"medium","high")))</f>
        <v>low</v>
      </c>
      <c r="T372" s="15" t="str">
        <f>IF(Table1[[#This Row],[Days]]&lt;=2,"faster",IF(Table1[[#This Row],[Days]]&lt;=4,"Normal","slow"))</f>
        <v>slow</v>
      </c>
    </row>
    <row r="373" spans="1:20" x14ac:dyDescent="0.25">
      <c r="A373" s="4" t="s">
        <v>406</v>
      </c>
      <c r="B373" s="1">
        <v>45155</v>
      </c>
      <c r="C373" s="1">
        <v>45157</v>
      </c>
      <c r="D373" s="13">
        <f>Table1[[#This Row],[Shipped date]]-Table1[[#This Row],[Order Date]]</f>
        <v>2</v>
      </c>
      <c r="E373" t="s">
        <v>28</v>
      </c>
      <c r="F373" s="13" t="str">
        <f>TEXT(Table1[[#This Row],[Order Date]],"MMMM")</f>
        <v>August</v>
      </c>
      <c r="G373" s="13">
        <f t="shared" si="10"/>
        <v>2023</v>
      </c>
      <c r="H373" s="13" t="str">
        <f t="shared" si="11"/>
        <v>Q3</v>
      </c>
      <c r="I373" s="1" t="s">
        <v>14</v>
      </c>
      <c r="J373" s="7" t="s">
        <v>21</v>
      </c>
      <c r="K373" s="7" t="s">
        <v>22</v>
      </c>
      <c r="L373" t="s">
        <v>35</v>
      </c>
      <c r="M373" s="9">
        <v>704.87</v>
      </c>
      <c r="N373" s="4">
        <v>3</v>
      </c>
      <c r="O373" s="12">
        <v>0</v>
      </c>
      <c r="P373" s="9">
        <v>68.540000000000006</v>
      </c>
      <c r="Q373" s="10">
        <f>Table1[[#This Row],[Profit]]/Table1[[#This Row],[Sales]]</f>
        <v>9.7237788528381122E-2</v>
      </c>
      <c r="R373" t="str">
        <f>IF(Table1[[#This Row],[Profit Margin]]&gt;0,"profit","loss")</f>
        <v>profit</v>
      </c>
      <c r="S373" t="str">
        <f>IF(Table1[[#This Row],[Discount]]=0,"No Discount",IF(Table1[[#This Row],[Discount]]&lt;=0.2,"low",IF(Table1[[#This Row],[Discount]]&lt;=0.3,"medium","high")))</f>
        <v>No Discount</v>
      </c>
      <c r="T373" s="15" t="str">
        <f>IF(Table1[[#This Row],[Days]]&lt;=2,"faster",IF(Table1[[#This Row],[Days]]&lt;=4,"Normal","slow"))</f>
        <v>faster</v>
      </c>
    </row>
    <row r="374" spans="1:20" x14ac:dyDescent="0.25">
      <c r="A374" s="4" t="s">
        <v>407</v>
      </c>
      <c r="B374" s="1">
        <v>45069</v>
      </c>
      <c r="C374" s="1">
        <v>45075</v>
      </c>
      <c r="D374" s="13">
        <f>Table1[[#This Row],[Shipped date]]-Table1[[#This Row],[Order Date]]</f>
        <v>6</v>
      </c>
      <c r="E374" t="s">
        <v>13</v>
      </c>
      <c r="F374" s="13" t="str">
        <f>TEXT(Table1[[#This Row],[Order Date]],"MMMM")</f>
        <v>May</v>
      </c>
      <c r="G374" s="13">
        <f t="shared" si="10"/>
        <v>2023</v>
      </c>
      <c r="H374" s="13" t="str">
        <f t="shared" si="11"/>
        <v>Q2</v>
      </c>
      <c r="I374" s="1" t="s">
        <v>20</v>
      </c>
      <c r="J374" s="7" t="s">
        <v>32</v>
      </c>
      <c r="K374" s="7" t="s">
        <v>22</v>
      </c>
      <c r="L374" t="s">
        <v>35</v>
      </c>
      <c r="M374" s="9">
        <v>156.57</v>
      </c>
      <c r="N374" s="4">
        <v>9</v>
      </c>
      <c r="O374" s="12">
        <v>0.2</v>
      </c>
      <c r="P374" s="9">
        <v>-6.14</v>
      </c>
      <c r="Q374" s="10">
        <f>Table1[[#This Row],[Profit]]/Table1[[#This Row],[Sales]]</f>
        <v>-3.9215686274509803E-2</v>
      </c>
      <c r="R374" t="str">
        <f>IF(Table1[[#This Row],[Profit Margin]]&gt;0,"profit","loss")</f>
        <v>loss</v>
      </c>
      <c r="S374" t="str">
        <f>IF(Table1[[#This Row],[Discount]]=0,"No Discount",IF(Table1[[#This Row],[Discount]]&lt;=0.2,"low",IF(Table1[[#This Row],[Discount]]&lt;=0.3,"medium","high")))</f>
        <v>low</v>
      </c>
      <c r="T374" s="15" t="str">
        <f>IF(Table1[[#This Row],[Days]]&lt;=2,"faster",IF(Table1[[#This Row],[Days]]&lt;=4,"Normal","slow"))</f>
        <v>slow</v>
      </c>
    </row>
    <row r="375" spans="1:20" x14ac:dyDescent="0.25">
      <c r="A375" s="4" t="s">
        <v>408</v>
      </c>
      <c r="B375" s="1">
        <v>45094</v>
      </c>
      <c r="C375" s="1">
        <v>45096</v>
      </c>
      <c r="D375" s="13">
        <f>Table1[[#This Row],[Shipped date]]-Table1[[#This Row],[Order Date]]</f>
        <v>2</v>
      </c>
      <c r="E375" t="s">
        <v>13</v>
      </c>
      <c r="F375" s="13" t="str">
        <f>TEXT(Table1[[#This Row],[Order Date]],"MMMM")</f>
        <v>June</v>
      </c>
      <c r="G375" s="13">
        <f t="shared" si="10"/>
        <v>2023</v>
      </c>
      <c r="H375" s="13" t="str">
        <f t="shared" si="11"/>
        <v>Q2</v>
      </c>
      <c r="I375" s="1" t="s">
        <v>14</v>
      </c>
      <c r="J375" s="7" t="s">
        <v>15</v>
      </c>
      <c r="K375" s="7" t="s">
        <v>29</v>
      </c>
      <c r="L375" t="s">
        <v>43</v>
      </c>
      <c r="M375" s="9">
        <v>149.63</v>
      </c>
      <c r="N375" s="4">
        <v>5</v>
      </c>
      <c r="O375" s="12">
        <v>0</v>
      </c>
      <c r="P375" s="9">
        <v>6.98</v>
      </c>
      <c r="Q375" s="10">
        <f>Table1[[#This Row],[Profit]]/Table1[[#This Row],[Sales]]</f>
        <v>4.6648399385150044E-2</v>
      </c>
      <c r="R375" t="str">
        <f>IF(Table1[[#This Row],[Profit Margin]]&gt;0,"profit","loss")</f>
        <v>profit</v>
      </c>
      <c r="S375" t="str">
        <f>IF(Table1[[#This Row],[Discount]]=0,"No Discount",IF(Table1[[#This Row],[Discount]]&lt;=0.2,"low",IF(Table1[[#This Row],[Discount]]&lt;=0.3,"medium","high")))</f>
        <v>No Discount</v>
      </c>
      <c r="T375" s="15" t="str">
        <f>IF(Table1[[#This Row],[Days]]&lt;=2,"faster",IF(Table1[[#This Row],[Days]]&lt;=4,"Normal","slow"))</f>
        <v>faster</v>
      </c>
    </row>
    <row r="376" spans="1:20" x14ac:dyDescent="0.25">
      <c r="A376" s="4" t="s">
        <v>409</v>
      </c>
      <c r="B376" s="1">
        <v>45139</v>
      </c>
      <c r="C376" s="1">
        <v>45141</v>
      </c>
      <c r="D376" s="13">
        <f>Table1[[#This Row],[Shipped date]]-Table1[[#This Row],[Order Date]]</f>
        <v>2</v>
      </c>
      <c r="E376" t="s">
        <v>13</v>
      </c>
      <c r="F376" s="13" t="str">
        <f>TEXT(Table1[[#This Row],[Order Date]],"MMMM")</f>
        <v>August</v>
      </c>
      <c r="G376" s="13">
        <f t="shared" si="10"/>
        <v>2023</v>
      </c>
      <c r="H376" s="13" t="str">
        <f t="shared" si="11"/>
        <v>Q3</v>
      </c>
      <c r="I376" s="1" t="s">
        <v>14</v>
      </c>
      <c r="J376" s="7" t="s">
        <v>32</v>
      </c>
      <c r="K376" s="7" t="s">
        <v>22</v>
      </c>
      <c r="L376" t="s">
        <v>35</v>
      </c>
      <c r="M376" s="9">
        <v>286.86</v>
      </c>
      <c r="N376" s="4">
        <v>3</v>
      </c>
      <c r="O376" s="12">
        <v>0.2</v>
      </c>
      <c r="P376" s="9">
        <v>8.89</v>
      </c>
      <c r="Q376" s="10">
        <f>Table1[[#This Row],[Profit]]/Table1[[#This Row],[Sales]]</f>
        <v>3.0990727183992192E-2</v>
      </c>
      <c r="R376" t="str">
        <f>IF(Table1[[#This Row],[Profit Margin]]&gt;0,"profit","loss")</f>
        <v>profit</v>
      </c>
      <c r="S376" t="str">
        <f>IF(Table1[[#This Row],[Discount]]=0,"No Discount",IF(Table1[[#This Row],[Discount]]&lt;=0.2,"low",IF(Table1[[#This Row],[Discount]]&lt;=0.3,"medium","high")))</f>
        <v>low</v>
      </c>
      <c r="T376" s="15" t="str">
        <f>IF(Table1[[#This Row],[Days]]&lt;=2,"faster",IF(Table1[[#This Row],[Days]]&lt;=4,"Normal","slow"))</f>
        <v>faster</v>
      </c>
    </row>
    <row r="377" spans="1:20" x14ac:dyDescent="0.25">
      <c r="A377" s="4" t="s">
        <v>410</v>
      </c>
      <c r="B377" s="1">
        <v>45100</v>
      </c>
      <c r="C377" s="1">
        <v>45102</v>
      </c>
      <c r="D377" s="13">
        <f>Table1[[#This Row],[Shipped date]]-Table1[[#This Row],[Order Date]]</f>
        <v>2</v>
      </c>
      <c r="E377" t="s">
        <v>25</v>
      </c>
      <c r="F377" s="13" t="str">
        <f>TEXT(Table1[[#This Row],[Order Date]],"MMMM")</f>
        <v>June</v>
      </c>
      <c r="G377" s="13">
        <f t="shared" si="10"/>
        <v>2023</v>
      </c>
      <c r="H377" s="13" t="str">
        <f t="shared" si="11"/>
        <v>Q2</v>
      </c>
      <c r="I377" s="1" t="s">
        <v>20</v>
      </c>
      <c r="J377" s="7" t="s">
        <v>26</v>
      </c>
      <c r="K377" s="7" t="s">
        <v>16</v>
      </c>
      <c r="L377" t="s">
        <v>38</v>
      </c>
      <c r="M377" s="9">
        <v>539.07000000000005</v>
      </c>
      <c r="N377" s="4">
        <v>1</v>
      </c>
      <c r="O377" s="12">
        <v>0.1</v>
      </c>
      <c r="P377" s="9">
        <v>20.36</v>
      </c>
      <c r="Q377" s="10">
        <f>Table1[[#This Row],[Profit]]/Table1[[#This Row],[Sales]]</f>
        <v>3.776874988405958E-2</v>
      </c>
      <c r="R377" t="str">
        <f>IF(Table1[[#This Row],[Profit Margin]]&gt;0,"profit","loss")</f>
        <v>profit</v>
      </c>
      <c r="S377" t="str">
        <f>IF(Table1[[#This Row],[Discount]]=0,"No Discount",IF(Table1[[#This Row],[Discount]]&lt;=0.2,"low",IF(Table1[[#This Row],[Discount]]&lt;=0.3,"medium","high")))</f>
        <v>low</v>
      </c>
      <c r="T377" s="15" t="str">
        <f>IF(Table1[[#This Row],[Days]]&lt;=2,"faster",IF(Table1[[#This Row],[Days]]&lt;=4,"Normal","slow"))</f>
        <v>faster</v>
      </c>
    </row>
    <row r="378" spans="1:20" x14ac:dyDescent="0.25">
      <c r="A378" s="4" t="s">
        <v>411</v>
      </c>
      <c r="B378" s="1">
        <v>45289</v>
      </c>
      <c r="C378" s="1">
        <v>45292</v>
      </c>
      <c r="D378" s="13">
        <f>Table1[[#This Row],[Shipped date]]-Table1[[#This Row],[Order Date]]</f>
        <v>3</v>
      </c>
      <c r="E378" t="s">
        <v>25</v>
      </c>
      <c r="F378" s="13" t="str">
        <f>TEXT(Table1[[#This Row],[Order Date]],"MMMM")</f>
        <v>December</v>
      </c>
      <c r="G378" s="13">
        <f t="shared" si="10"/>
        <v>2023</v>
      </c>
      <c r="H378" s="13" t="str">
        <f t="shared" si="11"/>
        <v>Q4</v>
      </c>
      <c r="I378" s="1" t="s">
        <v>14</v>
      </c>
      <c r="J378" s="7" t="s">
        <v>32</v>
      </c>
      <c r="K378" s="7" t="s">
        <v>22</v>
      </c>
      <c r="L378" t="s">
        <v>23</v>
      </c>
      <c r="M378" s="9">
        <v>288.57</v>
      </c>
      <c r="N378" s="4">
        <v>8</v>
      </c>
      <c r="O378" s="12">
        <v>0</v>
      </c>
      <c r="P378" s="9">
        <v>37.22</v>
      </c>
      <c r="Q378" s="10">
        <f>Table1[[#This Row],[Profit]]/Table1[[#This Row],[Sales]]</f>
        <v>0.12898083653879475</v>
      </c>
      <c r="R378" t="str">
        <f>IF(Table1[[#This Row],[Profit Margin]]&gt;0,"profit","loss")</f>
        <v>profit</v>
      </c>
      <c r="S378" t="str">
        <f>IF(Table1[[#This Row],[Discount]]=0,"No Discount",IF(Table1[[#This Row],[Discount]]&lt;=0.2,"low",IF(Table1[[#This Row],[Discount]]&lt;=0.3,"medium","high")))</f>
        <v>No Discount</v>
      </c>
      <c r="T378" s="15" t="str">
        <f>IF(Table1[[#This Row],[Days]]&lt;=2,"faster",IF(Table1[[#This Row],[Days]]&lt;=4,"Normal","slow"))</f>
        <v>Normal</v>
      </c>
    </row>
    <row r="379" spans="1:20" x14ac:dyDescent="0.25">
      <c r="A379" s="4" t="s">
        <v>412</v>
      </c>
      <c r="B379" s="1">
        <v>45158</v>
      </c>
      <c r="C379" s="1">
        <v>45165</v>
      </c>
      <c r="D379" s="13">
        <f>Table1[[#This Row],[Shipped date]]-Table1[[#This Row],[Order Date]]</f>
        <v>7</v>
      </c>
      <c r="E379" t="s">
        <v>28</v>
      </c>
      <c r="F379" s="13" t="str">
        <f>TEXT(Table1[[#This Row],[Order Date]],"MMMM")</f>
        <v>August</v>
      </c>
      <c r="G379" s="13">
        <f t="shared" si="10"/>
        <v>2023</v>
      </c>
      <c r="H379" s="13" t="str">
        <f t="shared" si="11"/>
        <v>Q3</v>
      </c>
      <c r="I379" s="1" t="s">
        <v>37</v>
      </c>
      <c r="J379" s="7" t="s">
        <v>15</v>
      </c>
      <c r="K379" s="7" t="s">
        <v>29</v>
      </c>
      <c r="L379" t="s">
        <v>45</v>
      </c>
      <c r="M379" s="9">
        <v>507.52</v>
      </c>
      <c r="N379" s="4">
        <v>1</v>
      </c>
      <c r="O379" s="12">
        <v>0.3</v>
      </c>
      <c r="P379" s="9">
        <v>-107.05</v>
      </c>
      <c r="Q379" s="10">
        <f>Table1[[#This Row],[Profit]]/Table1[[#This Row],[Sales]]</f>
        <v>-0.21092764817150064</v>
      </c>
      <c r="R379" t="str">
        <f>IF(Table1[[#This Row],[Profit Margin]]&gt;0,"profit","loss")</f>
        <v>loss</v>
      </c>
      <c r="S379" t="str">
        <f>IF(Table1[[#This Row],[Discount]]=0,"No Discount",IF(Table1[[#This Row],[Discount]]&lt;=0.2,"low",IF(Table1[[#This Row],[Discount]]&lt;=0.3,"medium","high")))</f>
        <v>medium</v>
      </c>
      <c r="T379" s="15" t="str">
        <f>IF(Table1[[#This Row],[Days]]&lt;=2,"faster",IF(Table1[[#This Row],[Days]]&lt;=4,"Normal","slow"))</f>
        <v>slow</v>
      </c>
    </row>
    <row r="380" spans="1:20" x14ac:dyDescent="0.25">
      <c r="A380" s="4" t="s">
        <v>413</v>
      </c>
      <c r="B380" s="1">
        <v>45071</v>
      </c>
      <c r="C380" s="1">
        <v>45075</v>
      </c>
      <c r="D380" s="13">
        <f>Table1[[#This Row],[Shipped date]]-Table1[[#This Row],[Order Date]]</f>
        <v>4</v>
      </c>
      <c r="E380" t="s">
        <v>28</v>
      </c>
      <c r="F380" s="13" t="str">
        <f>TEXT(Table1[[#This Row],[Order Date]],"MMMM")</f>
        <v>May</v>
      </c>
      <c r="G380" s="13">
        <f t="shared" si="10"/>
        <v>2023</v>
      </c>
      <c r="H380" s="13" t="str">
        <f t="shared" si="11"/>
        <v>Q2</v>
      </c>
      <c r="I380" s="1" t="s">
        <v>20</v>
      </c>
      <c r="J380" s="7" t="s">
        <v>32</v>
      </c>
      <c r="K380" s="7" t="s">
        <v>29</v>
      </c>
      <c r="L380" t="s">
        <v>43</v>
      </c>
      <c r="M380" s="9">
        <v>30.78</v>
      </c>
      <c r="N380" s="4">
        <v>2</v>
      </c>
      <c r="O380" s="12">
        <v>0</v>
      </c>
      <c r="P380" s="9">
        <v>1.54</v>
      </c>
      <c r="Q380" s="10">
        <f>Table1[[#This Row],[Profit]]/Table1[[#This Row],[Sales]]</f>
        <v>5.0032488628979854E-2</v>
      </c>
      <c r="R380" t="str">
        <f>IF(Table1[[#This Row],[Profit Margin]]&gt;0,"profit","loss")</f>
        <v>profit</v>
      </c>
      <c r="S380" t="str">
        <f>IF(Table1[[#This Row],[Discount]]=0,"No Discount",IF(Table1[[#This Row],[Discount]]&lt;=0.2,"low",IF(Table1[[#This Row],[Discount]]&lt;=0.3,"medium","high")))</f>
        <v>No Discount</v>
      </c>
      <c r="T380" s="15" t="str">
        <f>IF(Table1[[#This Row],[Days]]&lt;=2,"faster",IF(Table1[[#This Row],[Days]]&lt;=4,"Normal","slow"))</f>
        <v>Normal</v>
      </c>
    </row>
    <row r="381" spans="1:20" x14ac:dyDescent="0.25">
      <c r="A381" s="4" t="s">
        <v>414</v>
      </c>
      <c r="B381" s="1">
        <v>44996</v>
      </c>
      <c r="C381" s="1">
        <v>44999</v>
      </c>
      <c r="D381" s="13">
        <f>Table1[[#This Row],[Shipped date]]-Table1[[#This Row],[Order Date]]</f>
        <v>3</v>
      </c>
      <c r="E381" t="s">
        <v>13</v>
      </c>
      <c r="F381" s="13" t="str">
        <f>TEXT(Table1[[#This Row],[Order Date]],"MMMM")</f>
        <v>March</v>
      </c>
      <c r="G381" s="13">
        <f t="shared" si="10"/>
        <v>2023</v>
      </c>
      <c r="H381" s="13" t="str">
        <f t="shared" si="11"/>
        <v>Q1</v>
      </c>
      <c r="I381" s="1" t="s">
        <v>20</v>
      </c>
      <c r="J381" s="7" t="s">
        <v>32</v>
      </c>
      <c r="K381" s="7" t="s">
        <v>16</v>
      </c>
      <c r="L381" t="s">
        <v>33</v>
      </c>
      <c r="M381" s="9">
        <v>281.17</v>
      </c>
      <c r="N381" s="4">
        <v>3</v>
      </c>
      <c r="O381" s="12">
        <v>0.2</v>
      </c>
      <c r="P381" s="9">
        <v>-6.3</v>
      </c>
      <c r="Q381" s="10">
        <f>Table1[[#This Row],[Profit]]/Table1[[#This Row],[Sales]]</f>
        <v>-2.2406373368424794E-2</v>
      </c>
      <c r="R381" t="str">
        <f>IF(Table1[[#This Row],[Profit Margin]]&gt;0,"profit","loss")</f>
        <v>loss</v>
      </c>
      <c r="S381" t="str">
        <f>IF(Table1[[#This Row],[Discount]]=0,"No Discount",IF(Table1[[#This Row],[Discount]]&lt;=0.2,"low",IF(Table1[[#This Row],[Discount]]&lt;=0.3,"medium","high")))</f>
        <v>low</v>
      </c>
      <c r="T381" s="15" t="str">
        <f>IF(Table1[[#This Row],[Days]]&lt;=2,"faster",IF(Table1[[#This Row],[Days]]&lt;=4,"Normal","slow"))</f>
        <v>Normal</v>
      </c>
    </row>
    <row r="382" spans="1:20" x14ac:dyDescent="0.25">
      <c r="A382" s="4" t="s">
        <v>415</v>
      </c>
      <c r="B382" s="1">
        <v>45083</v>
      </c>
      <c r="C382" s="1">
        <v>45090</v>
      </c>
      <c r="D382" s="13">
        <f>Table1[[#This Row],[Shipped date]]-Table1[[#This Row],[Order Date]]</f>
        <v>7</v>
      </c>
      <c r="E382" t="s">
        <v>28</v>
      </c>
      <c r="F382" s="13" t="str">
        <f>TEXT(Table1[[#This Row],[Order Date]],"MMMM")</f>
        <v>June</v>
      </c>
      <c r="G382" s="13">
        <f t="shared" si="10"/>
        <v>2023</v>
      </c>
      <c r="H382" s="13" t="str">
        <f t="shared" si="11"/>
        <v>Q2</v>
      </c>
      <c r="I382" s="1" t="s">
        <v>20</v>
      </c>
      <c r="J382" s="7" t="s">
        <v>15</v>
      </c>
      <c r="K382" s="7" t="s">
        <v>29</v>
      </c>
      <c r="L382" t="s">
        <v>30</v>
      </c>
      <c r="M382" s="9">
        <v>608.51</v>
      </c>
      <c r="N382" s="4">
        <v>5</v>
      </c>
      <c r="O382" s="12">
        <v>0</v>
      </c>
      <c r="P382" s="9">
        <v>75.45</v>
      </c>
      <c r="Q382" s="10">
        <f>Table1[[#This Row],[Profit]]/Table1[[#This Row],[Sales]]</f>
        <v>0.1239913888021561</v>
      </c>
      <c r="R382" t="str">
        <f>IF(Table1[[#This Row],[Profit Margin]]&gt;0,"profit","loss")</f>
        <v>profit</v>
      </c>
      <c r="S382" t="str">
        <f>IF(Table1[[#This Row],[Discount]]=0,"No Discount",IF(Table1[[#This Row],[Discount]]&lt;=0.2,"low",IF(Table1[[#This Row],[Discount]]&lt;=0.3,"medium","high")))</f>
        <v>No Discount</v>
      </c>
      <c r="T382" s="15" t="str">
        <f>IF(Table1[[#This Row],[Days]]&lt;=2,"faster",IF(Table1[[#This Row],[Days]]&lt;=4,"Normal","slow"))</f>
        <v>slow</v>
      </c>
    </row>
    <row r="383" spans="1:20" x14ac:dyDescent="0.25">
      <c r="A383" s="4" t="s">
        <v>416</v>
      </c>
      <c r="B383" s="1">
        <v>45069</v>
      </c>
      <c r="C383" s="1">
        <v>45072</v>
      </c>
      <c r="D383" s="13">
        <f>Table1[[#This Row],[Shipped date]]-Table1[[#This Row],[Order Date]]</f>
        <v>3</v>
      </c>
      <c r="E383" t="s">
        <v>19</v>
      </c>
      <c r="F383" s="13" t="str">
        <f>TEXT(Table1[[#This Row],[Order Date]],"MMMM")</f>
        <v>May</v>
      </c>
      <c r="G383" s="13">
        <f t="shared" si="10"/>
        <v>2023</v>
      </c>
      <c r="H383" s="13" t="str">
        <f t="shared" si="11"/>
        <v>Q2</v>
      </c>
      <c r="I383" s="1" t="s">
        <v>14</v>
      </c>
      <c r="J383" s="7" t="s">
        <v>15</v>
      </c>
      <c r="K383" s="7" t="s">
        <v>29</v>
      </c>
      <c r="L383" t="s">
        <v>43</v>
      </c>
      <c r="M383" s="9">
        <v>581.83000000000004</v>
      </c>
      <c r="N383" s="4">
        <v>5</v>
      </c>
      <c r="O383" s="12">
        <v>0</v>
      </c>
      <c r="P383" s="9">
        <v>67.5</v>
      </c>
      <c r="Q383" s="10">
        <f>Table1[[#This Row],[Profit]]/Table1[[#This Row],[Sales]]</f>
        <v>0.11601326848048399</v>
      </c>
      <c r="R383" t="str">
        <f>IF(Table1[[#This Row],[Profit Margin]]&gt;0,"profit","loss")</f>
        <v>profit</v>
      </c>
      <c r="S383" t="str">
        <f>IF(Table1[[#This Row],[Discount]]=0,"No Discount",IF(Table1[[#This Row],[Discount]]&lt;=0.2,"low",IF(Table1[[#This Row],[Discount]]&lt;=0.3,"medium","high")))</f>
        <v>No Discount</v>
      </c>
      <c r="T383" s="15" t="str">
        <f>IF(Table1[[#This Row],[Days]]&lt;=2,"faster",IF(Table1[[#This Row],[Days]]&lt;=4,"Normal","slow"))</f>
        <v>Normal</v>
      </c>
    </row>
    <row r="384" spans="1:20" x14ac:dyDescent="0.25">
      <c r="A384" s="4" t="s">
        <v>417</v>
      </c>
      <c r="B384" s="1">
        <v>44980</v>
      </c>
      <c r="C384" s="1">
        <v>44981</v>
      </c>
      <c r="D384" s="13">
        <f>Table1[[#This Row],[Shipped date]]-Table1[[#This Row],[Order Date]]</f>
        <v>1</v>
      </c>
      <c r="E384" t="s">
        <v>13</v>
      </c>
      <c r="F384" s="13" t="str">
        <f>TEXT(Table1[[#This Row],[Order Date]],"MMMM")</f>
        <v>February</v>
      </c>
      <c r="G384" s="13">
        <f t="shared" si="10"/>
        <v>2023</v>
      </c>
      <c r="H384" s="13" t="str">
        <f t="shared" si="11"/>
        <v>Q1</v>
      </c>
      <c r="I384" s="1" t="s">
        <v>14</v>
      </c>
      <c r="J384" s="7" t="s">
        <v>15</v>
      </c>
      <c r="K384" s="7" t="s">
        <v>16</v>
      </c>
      <c r="L384" t="s">
        <v>17</v>
      </c>
      <c r="M384" s="9">
        <v>395.48</v>
      </c>
      <c r="N384" s="4">
        <v>2</v>
      </c>
      <c r="O384" s="12">
        <v>0.1</v>
      </c>
      <c r="P384" s="9">
        <v>9.5399999999999991</v>
      </c>
      <c r="Q384" s="10">
        <f>Table1[[#This Row],[Profit]]/Table1[[#This Row],[Sales]]</f>
        <v>2.4122585212905834E-2</v>
      </c>
      <c r="R384" t="str">
        <f>IF(Table1[[#This Row],[Profit Margin]]&gt;0,"profit","loss")</f>
        <v>profit</v>
      </c>
      <c r="S384" t="str">
        <f>IF(Table1[[#This Row],[Discount]]=0,"No Discount",IF(Table1[[#This Row],[Discount]]&lt;=0.2,"low",IF(Table1[[#This Row],[Discount]]&lt;=0.3,"medium","high")))</f>
        <v>low</v>
      </c>
      <c r="T384" s="15" t="str">
        <f>IF(Table1[[#This Row],[Days]]&lt;=2,"faster",IF(Table1[[#This Row],[Days]]&lt;=4,"Normal","slow"))</f>
        <v>faster</v>
      </c>
    </row>
    <row r="385" spans="1:20" x14ac:dyDescent="0.25">
      <c r="A385" s="4" t="s">
        <v>418</v>
      </c>
      <c r="B385" s="1">
        <v>45000</v>
      </c>
      <c r="C385" s="1">
        <v>45004</v>
      </c>
      <c r="D385" s="13">
        <f>Table1[[#This Row],[Shipped date]]-Table1[[#This Row],[Order Date]]</f>
        <v>4</v>
      </c>
      <c r="E385" t="s">
        <v>28</v>
      </c>
      <c r="F385" s="13" t="str">
        <f>TEXT(Table1[[#This Row],[Order Date]],"MMMM")</f>
        <v>March</v>
      </c>
      <c r="G385" s="13">
        <f t="shared" si="10"/>
        <v>2023</v>
      </c>
      <c r="H385" s="13" t="str">
        <f t="shared" si="11"/>
        <v>Q1</v>
      </c>
      <c r="I385" s="1" t="s">
        <v>14</v>
      </c>
      <c r="J385" s="7" t="s">
        <v>26</v>
      </c>
      <c r="K385" s="7" t="s">
        <v>16</v>
      </c>
      <c r="L385" t="s">
        <v>33</v>
      </c>
      <c r="M385" s="9">
        <v>366.79</v>
      </c>
      <c r="N385" s="4">
        <v>7</v>
      </c>
      <c r="O385" s="12">
        <v>0.1</v>
      </c>
      <c r="P385" s="9">
        <v>31.66</v>
      </c>
      <c r="Q385" s="10">
        <f>Table1[[#This Row],[Profit]]/Table1[[#This Row],[Sales]]</f>
        <v>8.6316420840262822E-2</v>
      </c>
      <c r="R385" t="str">
        <f>IF(Table1[[#This Row],[Profit Margin]]&gt;0,"profit","loss")</f>
        <v>profit</v>
      </c>
      <c r="S385" t="str">
        <f>IF(Table1[[#This Row],[Discount]]=0,"No Discount",IF(Table1[[#This Row],[Discount]]&lt;=0.2,"low",IF(Table1[[#This Row],[Discount]]&lt;=0.3,"medium","high")))</f>
        <v>low</v>
      </c>
      <c r="T385" s="15" t="str">
        <f>IF(Table1[[#This Row],[Days]]&lt;=2,"faster",IF(Table1[[#This Row],[Days]]&lt;=4,"Normal","slow"))</f>
        <v>Normal</v>
      </c>
    </row>
    <row r="386" spans="1:20" x14ac:dyDescent="0.25">
      <c r="A386" s="4" t="s">
        <v>419</v>
      </c>
      <c r="B386" s="1">
        <v>45122</v>
      </c>
      <c r="C386" s="1">
        <v>45123</v>
      </c>
      <c r="D386" s="13">
        <f>Table1[[#This Row],[Shipped date]]-Table1[[#This Row],[Order Date]]</f>
        <v>1</v>
      </c>
      <c r="E386" t="s">
        <v>28</v>
      </c>
      <c r="F386" s="13" t="str">
        <f>TEXT(Table1[[#This Row],[Order Date]],"MMMM")</f>
        <v>July</v>
      </c>
      <c r="G386" s="13">
        <f t="shared" si="10"/>
        <v>2023</v>
      </c>
      <c r="H386" s="13" t="str">
        <f t="shared" si="11"/>
        <v>Q3</v>
      </c>
      <c r="I386" s="1" t="s">
        <v>20</v>
      </c>
      <c r="J386" s="7" t="s">
        <v>26</v>
      </c>
      <c r="K386" s="7" t="s">
        <v>22</v>
      </c>
      <c r="L386" t="s">
        <v>35</v>
      </c>
      <c r="M386" s="9">
        <v>101.14</v>
      </c>
      <c r="N386" s="4">
        <v>8</v>
      </c>
      <c r="O386" s="12">
        <v>0.3</v>
      </c>
      <c r="P386" s="9">
        <v>13.74</v>
      </c>
      <c r="Q386" s="10">
        <f>Table1[[#This Row],[Profit]]/Table1[[#This Row],[Sales]]</f>
        <v>0.13585129523432865</v>
      </c>
      <c r="R386" t="str">
        <f>IF(Table1[[#This Row],[Profit Margin]]&gt;0,"profit","loss")</f>
        <v>profit</v>
      </c>
      <c r="S386" t="str">
        <f>IF(Table1[[#This Row],[Discount]]=0,"No Discount",IF(Table1[[#This Row],[Discount]]&lt;=0.2,"low",IF(Table1[[#This Row],[Discount]]&lt;=0.3,"medium","high")))</f>
        <v>medium</v>
      </c>
      <c r="T386" s="15" t="str">
        <f>IF(Table1[[#This Row],[Days]]&lt;=2,"faster",IF(Table1[[#This Row],[Days]]&lt;=4,"Normal","slow"))</f>
        <v>faster</v>
      </c>
    </row>
    <row r="387" spans="1:20" x14ac:dyDescent="0.25">
      <c r="A387" s="4" t="s">
        <v>420</v>
      </c>
      <c r="B387" s="1">
        <v>45038</v>
      </c>
      <c r="C387" s="1">
        <v>45042</v>
      </c>
      <c r="D387" s="13">
        <f>Table1[[#This Row],[Shipped date]]-Table1[[#This Row],[Order Date]]</f>
        <v>4</v>
      </c>
      <c r="E387" t="s">
        <v>13</v>
      </c>
      <c r="F387" s="13" t="str">
        <f>TEXT(Table1[[#This Row],[Order Date]],"MMMM")</f>
        <v>April</v>
      </c>
      <c r="G387" s="13">
        <f t="shared" ref="G387:G450" si="12">YEAR(B387)</f>
        <v>2023</v>
      </c>
      <c r="H387" s="13" t="str">
        <f t="shared" ref="H387:H450" si="13">"Q" &amp;ROUNDUP(MONTH(B387)/3,0)</f>
        <v>Q2</v>
      </c>
      <c r="I387" s="1" t="s">
        <v>14</v>
      </c>
      <c r="J387" s="7" t="s">
        <v>21</v>
      </c>
      <c r="K387" s="7" t="s">
        <v>22</v>
      </c>
      <c r="L387" t="s">
        <v>23</v>
      </c>
      <c r="M387" s="9">
        <v>86.88</v>
      </c>
      <c r="N387" s="4">
        <v>3</v>
      </c>
      <c r="O387" s="12">
        <v>0.2</v>
      </c>
      <c r="P387" s="9">
        <v>-8.48</v>
      </c>
      <c r="Q387" s="10">
        <f>Table1[[#This Row],[Profit]]/Table1[[#This Row],[Sales]]</f>
        <v>-9.7605893186003698E-2</v>
      </c>
      <c r="R387" t="str">
        <f>IF(Table1[[#This Row],[Profit Margin]]&gt;0,"profit","loss")</f>
        <v>loss</v>
      </c>
      <c r="S387" t="str">
        <f>IF(Table1[[#This Row],[Discount]]=0,"No Discount",IF(Table1[[#This Row],[Discount]]&lt;=0.2,"low",IF(Table1[[#This Row],[Discount]]&lt;=0.3,"medium","high")))</f>
        <v>low</v>
      </c>
      <c r="T387" s="15" t="str">
        <f>IF(Table1[[#This Row],[Days]]&lt;=2,"faster",IF(Table1[[#This Row],[Days]]&lt;=4,"Normal","slow"))</f>
        <v>Normal</v>
      </c>
    </row>
    <row r="388" spans="1:20" x14ac:dyDescent="0.25">
      <c r="A388" s="4" t="s">
        <v>421</v>
      </c>
      <c r="B388" s="1">
        <v>45076</v>
      </c>
      <c r="C388" s="1">
        <v>45077</v>
      </c>
      <c r="D388" s="13">
        <f>Table1[[#This Row],[Shipped date]]-Table1[[#This Row],[Order Date]]</f>
        <v>1</v>
      </c>
      <c r="E388" t="s">
        <v>28</v>
      </c>
      <c r="F388" s="13" t="str">
        <f>TEXT(Table1[[#This Row],[Order Date]],"MMMM")</f>
        <v>May</v>
      </c>
      <c r="G388" s="13">
        <f t="shared" si="12"/>
        <v>2023</v>
      </c>
      <c r="H388" s="13" t="str">
        <f t="shared" si="13"/>
        <v>Q2</v>
      </c>
      <c r="I388" s="1" t="s">
        <v>14</v>
      </c>
      <c r="J388" s="7" t="s">
        <v>26</v>
      </c>
      <c r="K388" s="7" t="s">
        <v>22</v>
      </c>
      <c r="L388" t="s">
        <v>40</v>
      </c>
      <c r="M388" s="9">
        <v>368.56</v>
      </c>
      <c r="N388" s="4">
        <v>6</v>
      </c>
      <c r="O388" s="12">
        <v>0</v>
      </c>
      <c r="P388" s="9">
        <v>67.36</v>
      </c>
      <c r="Q388" s="10">
        <f>Table1[[#This Row],[Profit]]/Table1[[#This Row],[Sales]]</f>
        <v>0.18276535706533537</v>
      </c>
      <c r="R388" t="str">
        <f>IF(Table1[[#This Row],[Profit Margin]]&gt;0,"profit","loss")</f>
        <v>profit</v>
      </c>
      <c r="S388" t="str">
        <f>IF(Table1[[#This Row],[Discount]]=0,"No Discount",IF(Table1[[#This Row],[Discount]]&lt;=0.2,"low",IF(Table1[[#This Row],[Discount]]&lt;=0.3,"medium","high")))</f>
        <v>No Discount</v>
      </c>
      <c r="T388" s="15" t="str">
        <f>IF(Table1[[#This Row],[Days]]&lt;=2,"faster",IF(Table1[[#This Row],[Days]]&lt;=4,"Normal","slow"))</f>
        <v>faster</v>
      </c>
    </row>
    <row r="389" spans="1:20" x14ac:dyDescent="0.25">
      <c r="A389" s="4" t="s">
        <v>422</v>
      </c>
      <c r="B389" s="1">
        <v>45164</v>
      </c>
      <c r="C389" s="1">
        <v>45166</v>
      </c>
      <c r="D389" s="13">
        <f>Table1[[#This Row],[Shipped date]]-Table1[[#This Row],[Order Date]]</f>
        <v>2</v>
      </c>
      <c r="E389" t="s">
        <v>13</v>
      </c>
      <c r="F389" s="13" t="str">
        <f>TEXT(Table1[[#This Row],[Order Date]],"MMMM")</f>
        <v>August</v>
      </c>
      <c r="G389" s="13">
        <f t="shared" si="12"/>
        <v>2023</v>
      </c>
      <c r="H389" s="13" t="str">
        <f t="shared" si="13"/>
        <v>Q3</v>
      </c>
      <c r="I389" s="1" t="s">
        <v>14</v>
      </c>
      <c r="J389" s="7" t="s">
        <v>21</v>
      </c>
      <c r="K389" s="7" t="s">
        <v>16</v>
      </c>
      <c r="L389" t="s">
        <v>38</v>
      </c>
      <c r="M389" s="9">
        <v>618.20000000000005</v>
      </c>
      <c r="N389" s="4">
        <v>1</v>
      </c>
      <c r="O389" s="12">
        <v>0.1</v>
      </c>
      <c r="P389" s="9">
        <v>13.32</v>
      </c>
      <c r="Q389" s="10">
        <f>Table1[[#This Row],[Profit]]/Table1[[#This Row],[Sales]]</f>
        <v>2.1546425105143964E-2</v>
      </c>
      <c r="R389" t="str">
        <f>IF(Table1[[#This Row],[Profit Margin]]&gt;0,"profit","loss")</f>
        <v>profit</v>
      </c>
      <c r="S389" t="str">
        <f>IF(Table1[[#This Row],[Discount]]=0,"No Discount",IF(Table1[[#This Row],[Discount]]&lt;=0.2,"low",IF(Table1[[#This Row],[Discount]]&lt;=0.3,"medium","high")))</f>
        <v>low</v>
      </c>
      <c r="T389" s="15" t="str">
        <f>IF(Table1[[#This Row],[Days]]&lt;=2,"faster",IF(Table1[[#This Row],[Days]]&lt;=4,"Normal","slow"))</f>
        <v>faster</v>
      </c>
    </row>
    <row r="390" spans="1:20" x14ac:dyDescent="0.25">
      <c r="A390" s="4" t="s">
        <v>423</v>
      </c>
      <c r="B390" s="1">
        <v>45071</v>
      </c>
      <c r="C390" s="1">
        <v>45073</v>
      </c>
      <c r="D390" s="13">
        <f>Table1[[#This Row],[Shipped date]]-Table1[[#This Row],[Order Date]]</f>
        <v>2</v>
      </c>
      <c r="E390" t="s">
        <v>25</v>
      </c>
      <c r="F390" s="13" t="str">
        <f>TEXT(Table1[[#This Row],[Order Date]],"MMMM")</f>
        <v>May</v>
      </c>
      <c r="G390" s="13">
        <f t="shared" si="12"/>
        <v>2023</v>
      </c>
      <c r="H390" s="13" t="str">
        <f t="shared" si="13"/>
        <v>Q2</v>
      </c>
      <c r="I390" s="1" t="s">
        <v>20</v>
      </c>
      <c r="J390" s="7" t="s">
        <v>21</v>
      </c>
      <c r="K390" s="7" t="s">
        <v>22</v>
      </c>
      <c r="L390" t="s">
        <v>40</v>
      </c>
      <c r="M390" s="9">
        <v>670.4</v>
      </c>
      <c r="N390" s="4">
        <v>2</v>
      </c>
      <c r="O390" s="12">
        <v>0.1</v>
      </c>
      <c r="P390" s="9">
        <v>-10.55</v>
      </c>
      <c r="Q390" s="10">
        <f>Table1[[#This Row],[Profit]]/Table1[[#This Row],[Sales]]</f>
        <v>-1.5736873508353223E-2</v>
      </c>
      <c r="R390" t="str">
        <f>IF(Table1[[#This Row],[Profit Margin]]&gt;0,"profit","loss")</f>
        <v>loss</v>
      </c>
      <c r="S390" t="str">
        <f>IF(Table1[[#This Row],[Discount]]=0,"No Discount",IF(Table1[[#This Row],[Discount]]&lt;=0.2,"low",IF(Table1[[#This Row],[Discount]]&lt;=0.3,"medium","high")))</f>
        <v>low</v>
      </c>
      <c r="T390" s="15" t="str">
        <f>IF(Table1[[#This Row],[Days]]&lt;=2,"faster",IF(Table1[[#This Row],[Days]]&lt;=4,"Normal","slow"))</f>
        <v>faster</v>
      </c>
    </row>
    <row r="391" spans="1:20" x14ac:dyDescent="0.25">
      <c r="A391" s="4" t="s">
        <v>424</v>
      </c>
      <c r="B391" s="1">
        <v>45105</v>
      </c>
      <c r="C391" s="1">
        <v>45109</v>
      </c>
      <c r="D391" s="13">
        <f>Table1[[#This Row],[Shipped date]]-Table1[[#This Row],[Order Date]]</f>
        <v>4</v>
      </c>
      <c r="E391" t="s">
        <v>19</v>
      </c>
      <c r="F391" s="13" t="str">
        <f>TEXT(Table1[[#This Row],[Order Date]],"MMMM")</f>
        <v>June</v>
      </c>
      <c r="G391" s="13">
        <f t="shared" si="12"/>
        <v>2023</v>
      </c>
      <c r="H391" s="13" t="str">
        <f t="shared" si="13"/>
        <v>Q2</v>
      </c>
      <c r="I391" s="1" t="s">
        <v>20</v>
      </c>
      <c r="J391" s="7" t="s">
        <v>32</v>
      </c>
      <c r="K391" s="7" t="s">
        <v>29</v>
      </c>
      <c r="L391" t="s">
        <v>43</v>
      </c>
      <c r="M391" s="9">
        <v>494.08</v>
      </c>
      <c r="N391" s="4">
        <v>3</v>
      </c>
      <c r="O391" s="12">
        <v>0.1</v>
      </c>
      <c r="P391" s="9">
        <v>-17.82</v>
      </c>
      <c r="Q391" s="10">
        <f>Table1[[#This Row],[Profit]]/Table1[[#This Row],[Sales]]</f>
        <v>-3.606703367875648E-2</v>
      </c>
      <c r="R391" t="str">
        <f>IF(Table1[[#This Row],[Profit Margin]]&gt;0,"profit","loss")</f>
        <v>loss</v>
      </c>
      <c r="S391" t="str">
        <f>IF(Table1[[#This Row],[Discount]]=0,"No Discount",IF(Table1[[#This Row],[Discount]]&lt;=0.2,"low",IF(Table1[[#This Row],[Discount]]&lt;=0.3,"medium","high")))</f>
        <v>low</v>
      </c>
      <c r="T391" s="15" t="str">
        <f>IF(Table1[[#This Row],[Days]]&lt;=2,"faster",IF(Table1[[#This Row],[Days]]&lt;=4,"Normal","slow"))</f>
        <v>Normal</v>
      </c>
    </row>
    <row r="392" spans="1:20" x14ac:dyDescent="0.25">
      <c r="A392" s="4" t="s">
        <v>425</v>
      </c>
      <c r="B392" s="1">
        <v>45035</v>
      </c>
      <c r="C392" s="1">
        <v>45037</v>
      </c>
      <c r="D392" s="13">
        <f>Table1[[#This Row],[Shipped date]]-Table1[[#This Row],[Order Date]]</f>
        <v>2</v>
      </c>
      <c r="E392" t="s">
        <v>28</v>
      </c>
      <c r="F392" s="13" t="str">
        <f>TEXT(Table1[[#This Row],[Order Date]],"MMMM")</f>
        <v>April</v>
      </c>
      <c r="G392" s="13">
        <f t="shared" si="12"/>
        <v>2023</v>
      </c>
      <c r="H392" s="13" t="str">
        <f t="shared" si="13"/>
        <v>Q2</v>
      </c>
      <c r="I392" s="1" t="s">
        <v>14</v>
      </c>
      <c r="J392" s="7" t="s">
        <v>15</v>
      </c>
      <c r="K392" s="7" t="s">
        <v>16</v>
      </c>
      <c r="L392" t="s">
        <v>33</v>
      </c>
      <c r="M392" s="9">
        <v>277.02</v>
      </c>
      <c r="N392" s="4">
        <v>9</v>
      </c>
      <c r="O392" s="12">
        <v>0.2</v>
      </c>
      <c r="P392" s="9">
        <v>11.21</v>
      </c>
      <c r="Q392" s="10">
        <f>Table1[[#This Row],[Profit]]/Table1[[#This Row],[Sales]]</f>
        <v>4.0466392318244178E-2</v>
      </c>
      <c r="R392" t="str">
        <f>IF(Table1[[#This Row],[Profit Margin]]&gt;0,"profit","loss")</f>
        <v>profit</v>
      </c>
      <c r="S392" t="str">
        <f>IF(Table1[[#This Row],[Discount]]=0,"No Discount",IF(Table1[[#This Row],[Discount]]&lt;=0.2,"low",IF(Table1[[#This Row],[Discount]]&lt;=0.3,"medium","high")))</f>
        <v>low</v>
      </c>
      <c r="T392" s="15" t="str">
        <f>IF(Table1[[#This Row],[Days]]&lt;=2,"faster",IF(Table1[[#This Row],[Days]]&lt;=4,"Normal","slow"))</f>
        <v>faster</v>
      </c>
    </row>
    <row r="393" spans="1:20" x14ac:dyDescent="0.25">
      <c r="A393" s="4" t="s">
        <v>426</v>
      </c>
      <c r="B393" s="1">
        <v>44981</v>
      </c>
      <c r="C393" s="1">
        <v>44985</v>
      </c>
      <c r="D393" s="13">
        <f>Table1[[#This Row],[Shipped date]]-Table1[[#This Row],[Order Date]]</f>
        <v>4</v>
      </c>
      <c r="E393" t="s">
        <v>28</v>
      </c>
      <c r="F393" s="13" t="str">
        <f>TEXT(Table1[[#This Row],[Order Date]],"MMMM")</f>
        <v>February</v>
      </c>
      <c r="G393" s="13">
        <f t="shared" si="12"/>
        <v>2023</v>
      </c>
      <c r="H393" s="13" t="str">
        <f t="shared" si="13"/>
        <v>Q1</v>
      </c>
      <c r="I393" s="1" t="s">
        <v>37</v>
      </c>
      <c r="J393" s="7" t="s">
        <v>21</v>
      </c>
      <c r="K393" s="7" t="s">
        <v>29</v>
      </c>
      <c r="L393" t="s">
        <v>43</v>
      </c>
      <c r="M393" s="9">
        <v>849.48</v>
      </c>
      <c r="N393" s="4">
        <v>2</v>
      </c>
      <c r="O393" s="12">
        <v>0.2</v>
      </c>
      <c r="P393" s="9">
        <v>-63.17</v>
      </c>
      <c r="Q393" s="10">
        <f>Table1[[#This Row],[Profit]]/Table1[[#This Row],[Sales]]</f>
        <v>-7.4363139803173703E-2</v>
      </c>
      <c r="R393" t="str">
        <f>IF(Table1[[#This Row],[Profit Margin]]&gt;0,"profit","loss")</f>
        <v>loss</v>
      </c>
      <c r="S393" t="str">
        <f>IF(Table1[[#This Row],[Discount]]=0,"No Discount",IF(Table1[[#This Row],[Discount]]&lt;=0.2,"low",IF(Table1[[#This Row],[Discount]]&lt;=0.3,"medium","high")))</f>
        <v>low</v>
      </c>
      <c r="T393" s="15" t="str">
        <f>IF(Table1[[#This Row],[Days]]&lt;=2,"faster",IF(Table1[[#This Row],[Days]]&lt;=4,"Normal","slow"))</f>
        <v>Normal</v>
      </c>
    </row>
    <row r="394" spans="1:20" x14ac:dyDescent="0.25">
      <c r="A394" s="4" t="s">
        <v>427</v>
      </c>
      <c r="B394" s="1">
        <v>45199</v>
      </c>
      <c r="C394" s="1">
        <v>45206</v>
      </c>
      <c r="D394" s="13">
        <f>Table1[[#This Row],[Shipped date]]-Table1[[#This Row],[Order Date]]</f>
        <v>7</v>
      </c>
      <c r="E394" t="s">
        <v>28</v>
      </c>
      <c r="F394" s="13" t="str">
        <f>TEXT(Table1[[#This Row],[Order Date]],"MMMM")</f>
        <v>September</v>
      </c>
      <c r="G394" s="13">
        <f t="shared" si="12"/>
        <v>2023</v>
      </c>
      <c r="H394" s="13" t="str">
        <f t="shared" si="13"/>
        <v>Q3</v>
      </c>
      <c r="I394" s="1" t="s">
        <v>14</v>
      </c>
      <c r="J394" s="7" t="s">
        <v>32</v>
      </c>
      <c r="K394" s="7" t="s">
        <v>16</v>
      </c>
      <c r="L394" t="s">
        <v>33</v>
      </c>
      <c r="M394" s="9">
        <v>347.56</v>
      </c>
      <c r="N394" s="4">
        <v>1</v>
      </c>
      <c r="O394" s="12">
        <v>0.1</v>
      </c>
      <c r="P394" s="9">
        <v>13.2</v>
      </c>
      <c r="Q394" s="10">
        <f>Table1[[#This Row],[Profit]]/Table1[[#This Row],[Sales]]</f>
        <v>3.7979053976291859E-2</v>
      </c>
      <c r="R394" t="str">
        <f>IF(Table1[[#This Row],[Profit Margin]]&gt;0,"profit","loss")</f>
        <v>profit</v>
      </c>
      <c r="S394" t="str">
        <f>IF(Table1[[#This Row],[Discount]]=0,"No Discount",IF(Table1[[#This Row],[Discount]]&lt;=0.2,"low",IF(Table1[[#This Row],[Discount]]&lt;=0.3,"medium","high")))</f>
        <v>low</v>
      </c>
      <c r="T394" s="15" t="str">
        <f>IF(Table1[[#This Row],[Days]]&lt;=2,"faster",IF(Table1[[#This Row],[Days]]&lt;=4,"Normal","slow"))</f>
        <v>slow</v>
      </c>
    </row>
    <row r="395" spans="1:20" x14ac:dyDescent="0.25">
      <c r="A395" s="4" t="s">
        <v>428</v>
      </c>
      <c r="B395" s="1">
        <v>45128</v>
      </c>
      <c r="C395" s="1">
        <v>45132</v>
      </c>
      <c r="D395" s="13">
        <f>Table1[[#This Row],[Shipped date]]-Table1[[#This Row],[Order Date]]</f>
        <v>4</v>
      </c>
      <c r="E395" t="s">
        <v>19</v>
      </c>
      <c r="F395" s="13" t="str">
        <f>TEXT(Table1[[#This Row],[Order Date]],"MMMM")</f>
        <v>July</v>
      </c>
      <c r="G395" s="13">
        <f t="shared" si="12"/>
        <v>2023</v>
      </c>
      <c r="H395" s="13" t="str">
        <f t="shared" si="13"/>
        <v>Q3</v>
      </c>
      <c r="I395" s="1" t="s">
        <v>37</v>
      </c>
      <c r="J395" s="7" t="s">
        <v>32</v>
      </c>
      <c r="K395" s="7" t="s">
        <v>29</v>
      </c>
      <c r="L395" t="s">
        <v>45</v>
      </c>
      <c r="M395" s="9">
        <v>357.5</v>
      </c>
      <c r="N395" s="4">
        <v>3</v>
      </c>
      <c r="O395" s="12">
        <v>0.3</v>
      </c>
      <c r="P395" s="9">
        <v>-40.53</v>
      </c>
      <c r="Q395" s="10">
        <f>Table1[[#This Row],[Profit]]/Table1[[#This Row],[Sales]]</f>
        <v>-0.11337062937062937</v>
      </c>
      <c r="R395" t="str">
        <f>IF(Table1[[#This Row],[Profit Margin]]&gt;0,"profit","loss")</f>
        <v>loss</v>
      </c>
      <c r="S395" t="str">
        <f>IF(Table1[[#This Row],[Discount]]=0,"No Discount",IF(Table1[[#This Row],[Discount]]&lt;=0.2,"low",IF(Table1[[#This Row],[Discount]]&lt;=0.3,"medium","high")))</f>
        <v>medium</v>
      </c>
      <c r="T395" s="15" t="str">
        <f>IF(Table1[[#This Row],[Days]]&lt;=2,"faster",IF(Table1[[#This Row],[Days]]&lt;=4,"Normal","slow"))</f>
        <v>Normal</v>
      </c>
    </row>
    <row r="396" spans="1:20" x14ac:dyDescent="0.25">
      <c r="A396" s="4" t="s">
        <v>429</v>
      </c>
      <c r="B396" s="1">
        <v>45136</v>
      </c>
      <c r="C396" s="1">
        <v>45140</v>
      </c>
      <c r="D396" s="13">
        <f>Table1[[#This Row],[Shipped date]]-Table1[[#This Row],[Order Date]]</f>
        <v>4</v>
      </c>
      <c r="E396" t="s">
        <v>13</v>
      </c>
      <c r="F396" s="13" t="str">
        <f>TEXT(Table1[[#This Row],[Order Date]],"MMMM")</f>
        <v>July</v>
      </c>
      <c r="G396" s="13">
        <f t="shared" si="12"/>
        <v>2023</v>
      </c>
      <c r="H396" s="13" t="str">
        <f t="shared" si="13"/>
        <v>Q3</v>
      </c>
      <c r="I396" s="1" t="s">
        <v>14</v>
      </c>
      <c r="J396" s="7" t="s">
        <v>15</v>
      </c>
      <c r="K396" s="7" t="s">
        <v>29</v>
      </c>
      <c r="L396" t="s">
        <v>43</v>
      </c>
      <c r="M396" s="9">
        <v>505.58</v>
      </c>
      <c r="N396" s="4">
        <v>4</v>
      </c>
      <c r="O396" s="12">
        <v>0.2</v>
      </c>
      <c r="P396" s="9">
        <v>-28.68</v>
      </c>
      <c r="Q396" s="10">
        <f>Table1[[#This Row],[Profit]]/Table1[[#This Row],[Sales]]</f>
        <v>-5.67269274892203E-2</v>
      </c>
      <c r="R396" t="str">
        <f>IF(Table1[[#This Row],[Profit Margin]]&gt;0,"profit","loss")</f>
        <v>loss</v>
      </c>
      <c r="S396" t="str">
        <f>IF(Table1[[#This Row],[Discount]]=0,"No Discount",IF(Table1[[#This Row],[Discount]]&lt;=0.2,"low",IF(Table1[[#This Row],[Discount]]&lt;=0.3,"medium","high")))</f>
        <v>low</v>
      </c>
      <c r="T396" s="15" t="str">
        <f>IF(Table1[[#This Row],[Days]]&lt;=2,"faster",IF(Table1[[#This Row],[Days]]&lt;=4,"Normal","slow"))</f>
        <v>Normal</v>
      </c>
    </row>
    <row r="397" spans="1:20" x14ac:dyDescent="0.25">
      <c r="A397" s="4" t="s">
        <v>430</v>
      </c>
      <c r="B397" s="1">
        <v>45280</v>
      </c>
      <c r="C397" s="1">
        <v>45284</v>
      </c>
      <c r="D397" s="13">
        <f>Table1[[#This Row],[Shipped date]]-Table1[[#This Row],[Order Date]]</f>
        <v>4</v>
      </c>
      <c r="E397" t="s">
        <v>25</v>
      </c>
      <c r="F397" s="13" t="str">
        <f>TEXT(Table1[[#This Row],[Order Date]],"MMMM")</f>
        <v>December</v>
      </c>
      <c r="G397" s="13">
        <f t="shared" si="12"/>
        <v>2023</v>
      </c>
      <c r="H397" s="13" t="str">
        <f t="shared" si="13"/>
        <v>Q4</v>
      </c>
      <c r="I397" s="1" t="s">
        <v>20</v>
      </c>
      <c r="J397" s="7" t="s">
        <v>21</v>
      </c>
      <c r="K397" s="7" t="s">
        <v>29</v>
      </c>
      <c r="L397" t="s">
        <v>30</v>
      </c>
      <c r="M397" s="9">
        <v>470.49</v>
      </c>
      <c r="N397" s="4">
        <v>6</v>
      </c>
      <c r="O397" s="12">
        <v>0.2</v>
      </c>
      <c r="P397" s="9">
        <v>-9.7100000000000009</v>
      </c>
      <c r="Q397" s="10">
        <f>Table1[[#This Row],[Profit]]/Table1[[#This Row],[Sales]]</f>
        <v>-2.0638058194648135E-2</v>
      </c>
      <c r="R397" t="str">
        <f>IF(Table1[[#This Row],[Profit Margin]]&gt;0,"profit","loss")</f>
        <v>loss</v>
      </c>
      <c r="S397" t="str">
        <f>IF(Table1[[#This Row],[Discount]]=0,"No Discount",IF(Table1[[#This Row],[Discount]]&lt;=0.2,"low",IF(Table1[[#This Row],[Discount]]&lt;=0.3,"medium","high")))</f>
        <v>low</v>
      </c>
      <c r="T397" s="15" t="str">
        <f>IF(Table1[[#This Row],[Days]]&lt;=2,"faster",IF(Table1[[#This Row],[Days]]&lt;=4,"Normal","slow"))</f>
        <v>Normal</v>
      </c>
    </row>
    <row r="398" spans="1:20" x14ac:dyDescent="0.25">
      <c r="A398" s="4" t="s">
        <v>431</v>
      </c>
      <c r="B398" s="1">
        <v>45136</v>
      </c>
      <c r="C398" s="1">
        <v>45137</v>
      </c>
      <c r="D398" s="13">
        <f>Table1[[#This Row],[Shipped date]]-Table1[[#This Row],[Order Date]]</f>
        <v>1</v>
      </c>
      <c r="E398" t="s">
        <v>19</v>
      </c>
      <c r="F398" s="13" t="str">
        <f>TEXT(Table1[[#This Row],[Order Date]],"MMMM")</f>
        <v>July</v>
      </c>
      <c r="G398" s="13">
        <f t="shared" si="12"/>
        <v>2023</v>
      </c>
      <c r="H398" s="13" t="str">
        <f t="shared" si="13"/>
        <v>Q3</v>
      </c>
      <c r="I398" s="1" t="s">
        <v>20</v>
      </c>
      <c r="J398" s="7" t="s">
        <v>21</v>
      </c>
      <c r="K398" s="7" t="s">
        <v>22</v>
      </c>
      <c r="L398" t="s">
        <v>35</v>
      </c>
      <c r="M398" s="9">
        <v>803.43</v>
      </c>
      <c r="N398" s="4">
        <v>3</v>
      </c>
      <c r="O398" s="12">
        <v>0.3</v>
      </c>
      <c r="P398" s="9">
        <v>-112.95</v>
      </c>
      <c r="Q398" s="10">
        <f>Table1[[#This Row],[Profit]]/Table1[[#This Row],[Sales]]</f>
        <v>-0.14058474291475301</v>
      </c>
      <c r="R398" t="str">
        <f>IF(Table1[[#This Row],[Profit Margin]]&gt;0,"profit","loss")</f>
        <v>loss</v>
      </c>
      <c r="S398" t="str">
        <f>IF(Table1[[#This Row],[Discount]]=0,"No Discount",IF(Table1[[#This Row],[Discount]]&lt;=0.2,"low",IF(Table1[[#This Row],[Discount]]&lt;=0.3,"medium","high")))</f>
        <v>medium</v>
      </c>
      <c r="T398" s="15" t="str">
        <f>IF(Table1[[#This Row],[Days]]&lt;=2,"faster",IF(Table1[[#This Row],[Days]]&lt;=4,"Normal","slow"))</f>
        <v>faster</v>
      </c>
    </row>
    <row r="399" spans="1:20" x14ac:dyDescent="0.25">
      <c r="A399" s="4" t="s">
        <v>432</v>
      </c>
      <c r="B399" s="1">
        <v>45048</v>
      </c>
      <c r="C399" s="1">
        <v>45052</v>
      </c>
      <c r="D399" s="13">
        <f>Table1[[#This Row],[Shipped date]]-Table1[[#This Row],[Order Date]]</f>
        <v>4</v>
      </c>
      <c r="E399" t="s">
        <v>28</v>
      </c>
      <c r="F399" s="13" t="str">
        <f>TEXT(Table1[[#This Row],[Order Date]],"MMMM")</f>
        <v>May</v>
      </c>
      <c r="G399" s="13">
        <f t="shared" si="12"/>
        <v>2023</v>
      </c>
      <c r="H399" s="13" t="str">
        <f t="shared" si="13"/>
        <v>Q2</v>
      </c>
      <c r="I399" s="1" t="s">
        <v>37</v>
      </c>
      <c r="J399" s="7" t="s">
        <v>21</v>
      </c>
      <c r="K399" s="7" t="s">
        <v>22</v>
      </c>
      <c r="L399" t="s">
        <v>35</v>
      </c>
      <c r="M399" s="9">
        <v>25.15</v>
      </c>
      <c r="N399" s="4">
        <v>7</v>
      </c>
      <c r="O399" s="12">
        <v>0.3</v>
      </c>
      <c r="P399" s="9">
        <v>0.24</v>
      </c>
      <c r="Q399" s="10">
        <f>Table1[[#This Row],[Profit]]/Table1[[#This Row],[Sales]]</f>
        <v>9.5427435387673964E-3</v>
      </c>
      <c r="R399" t="str">
        <f>IF(Table1[[#This Row],[Profit Margin]]&gt;0,"profit","loss")</f>
        <v>profit</v>
      </c>
      <c r="S399" t="str">
        <f>IF(Table1[[#This Row],[Discount]]=0,"No Discount",IF(Table1[[#This Row],[Discount]]&lt;=0.2,"low",IF(Table1[[#This Row],[Discount]]&lt;=0.3,"medium","high")))</f>
        <v>medium</v>
      </c>
      <c r="T399" s="15" t="str">
        <f>IF(Table1[[#This Row],[Days]]&lt;=2,"faster",IF(Table1[[#This Row],[Days]]&lt;=4,"Normal","slow"))</f>
        <v>Normal</v>
      </c>
    </row>
    <row r="400" spans="1:20" x14ac:dyDescent="0.25">
      <c r="A400" s="4" t="s">
        <v>433</v>
      </c>
      <c r="B400" s="1">
        <v>45224</v>
      </c>
      <c r="C400" s="1">
        <v>45225</v>
      </c>
      <c r="D400" s="13">
        <f>Table1[[#This Row],[Shipped date]]-Table1[[#This Row],[Order Date]]</f>
        <v>1</v>
      </c>
      <c r="E400" t="s">
        <v>13</v>
      </c>
      <c r="F400" s="13" t="str">
        <f>TEXT(Table1[[#This Row],[Order Date]],"MMMM")</f>
        <v>October</v>
      </c>
      <c r="G400" s="13">
        <f t="shared" si="12"/>
        <v>2023</v>
      </c>
      <c r="H400" s="13" t="str">
        <f t="shared" si="13"/>
        <v>Q4</v>
      </c>
      <c r="I400" s="1" t="s">
        <v>20</v>
      </c>
      <c r="J400" s="7" t="s">
        <v>15</v>
      </c>
      <c r="K400" s="7" t="s">
        <v>16</v>
      </c>
      <c r="L400" t="s">
        <v>38</v>
      </c>
      <c r="M400" s="9">
        <v>109.75</v>
      </c>
      <c r="N400" s="4">
        <v>3</v>
      </c>
      <c r="O400" s="12">
        <v>0.2</v>
      </c>
      <c r="P400" s="9">
        <v>36.369999999999997</v>
      </c>
      <c r="Q400" s="10">
        <f>Table1[[#This Row],[Profit]]/Table1[[#This Row],[Sales]]</f>
        <v>0.33138952164009111</v>
      </c>
      <c r="R400" t="str">
        <f>IF(Table1[[#This Row],[Profit Margin]]&gt;0,"profit","loss")</f>
        <v>profit</v>
      </c>
      <c r="S400" t="str">
        <f>IF(Table1[[#This Row],[Discount]]=0,"No Discount",IF(Table1[[#This Row],[Discount]]&lt;=0.2,"low",IF(Table1[[#This Row],[Discount]]&lt;=0.3,"medium","high")))</f>
        <v>low</v>
      </c>
      <c r="T400" s="15" t="str">
        <f>IF(Table1[[#This Row],[Days]]&lt;=2,"faster",IF(Table1[[#This Row],[Days]]&lt;=4,"Normal","slow"))</f>
        <v>faster</v>
      </c>
    </row>
    <row r="401" spans="1:20" x14ac:dyDescent="0.25">
      <c r="A401" s="4" t="s">
        <v>434</v>
      </c>
      <c r="B401" s="1">
        <v>45013</v>
      </c>
      <c r="C401" s="1">
        <v>45018</v>
      </c>
      <c r="D401" s="13">
        <f>Table1[[#This Row],[Shipped date]]-Table1[[#This Row],[Order Date]]</f>
        <v>5</v>
      </c>
      <c r="E401" t="s">
        <v>28</v>
      </c>
      <c r="F401" s="13" t="str">
        <f>TEXT(Table1[[#This Row],[Order Date]],"MMMM")</f>
        <v>March</v>
      </c>
      <c r="G401" s="13">
        <f t="shared" si="12"/>
        <v>2023</v>
      </c>
      <c r="H401" s="13" t="str">
        <f t="shared" si="13"/>
        <v>Q1</v>
      </c>
      <c r="I401" s="1" t="s">
        <v>20</v>
      </c>
      <c r="J401" s="7" t="s">
        <v>32</v>
      </c>
      <c r="K401" s="7" t="s">
        <v>29</v>
      </c>
      <c r="L401" t="s">
        <v>30</v>
      </c>
      <c r="M401" s="9">
        <v>794.21</v>
      </c>
      <c r="N401" s="4">
        <v>4</v>
      </c>
      <c r="O401" s="12">
        <v>0</v>
      </c>
      <c r="P401" s="9">
        <v>90.64</v>
      </c>
      <c r="Q401" s="10">
        <f>Table1[[#This Row],[Profit]]/Table1[[#This Row],[Sales]]</f>
        <v>0.11412598682967981</v>
      </c>
      <c r="R401" t="str">
        <f>IF(Table1[[#This Row],[Profit Margin]]&gt;0,"profit","loss")</f>
        <v>profit</v>
      </c>
      <c r="S401" t="str">
        <f>IF(Table1[[#This Row],[Discount]]=0,"No Discount",IF(Table1[[#This Row],[Discount]]&lt;=0.2,"low",IF(Table1[[#This Row],[Discount]]&lt;=0.3,"medium","high")))</f>
        <v>No Discount</v>
      </c>
      <c r="T401" s="15" t="str">
        <f>IF(Table1[[#This Row],[Days]]&lt;=2,"faster",IF(Table1[[#This Row],[Days]]&lt;=4,"Normal","slow"))</f>
        <v>slow</v>
      </c>
    </row>
    <row r="402" spans="1:20" x14ac:dyDescent="0.25">
      <c r="A402" s="4" t="s">
        <v>435</v>
      </c>
      <c r="B402" s="1">
        <v>45101</v>
      </c>
      <c r="C402" s="1">
        <v>45104</v>
      </c>
      <c r="D402" s="13">
        <f>Table1[[#This Row],[Shipped date]]-Table1[[#This Row],[Order Date]]</f>
        <v>3</v>
      </c>
      <c r="E402" t="s">
        <v>13</v>
      </c>
      <c r="F402" s="13" t="str">
        <f>TEXT(Table1[[#This Row],[Order Date]],"MMMM")</f>
        <v>June</v>
      </c>
      <c r="G402" s="13">
        <f t="shared" si="12"/>
        <v>2023</v>
      </c>
      <c r="H402" s="13" t="str">
        <f t="shared" si="13"/>
        <v>Q2</v>
      </c>
      <c r="I402" s="1" t="s">
        <v>14</v>
      </c>
      <c r="J402" s="7" t="s">
        <v>26</v>
      </c>
      <c r="K402" s="7" t="s">
        <v>22</v>
      </c>
      <c r="L402" t="s">
        <v>23</v>
      </c>
      <c r="M402" s="9">
        <v>201.43</v>
      </c>
      <c r="N402" s="4">
        <v>6</v>
      </c>
      <c r="O402" s="12">
        <v>0.1</v>
      </c>
      <c r="P402" s="9">
        <v>47.07</v>
      </c>
      <c r="Q402" s="10">
        <f>Table1[[#This Row],[Profit]]/Table1[[#This Row],[Sales]]</f>
        <v>0.23367919376458321</v>
      </c>
      <c r="R402" t="str">
        <f>IF(Table1[[#This Row],[Profit Margin]]&gt;0,"profit","loss")</f>
        <v>profit</v>
      </c>
      <c r="S402" t="str">
        <f>IF(Table1[[#This Row],[Discount]]=0,"No Discount",IF(Table1[[#This Row],[Discount]]&lt;=0.2,"low",IF(Table1[[#This Row],[Discount]]&lt;=0.3,"medium","high")))</f>
        <v>low</v>
      </c>
      <c r="T402" s="15" t="str">
        <f>IF(Table1[[#This Row],[Days]]&lt;=2,"faster",IF(Table1[[#This Row],[Days]]&lt;=4,"Normal","slow"))</f>
        <v>Normal</v>
      </c>
    </row>
    <row r="403" spans="1:20" x14ac:dyDescent="0.25">
      <c r="A403" s="4" t="s">
        <v>436</v>
      </c>
      <c r="B403" s="1">
        <v>45204</v>
      </c>
      <c r="C403" s="1">
        <v>45206</v>
      </c>
      <c r="D403" s="13">
        <f>Table1[[#This Row],[Shipped date]]-Table1[[#This Row],[Order Date]]</f>
        <v>2</v>
      </c>
      <c r="E403" t="s">
        <v>25</v>
      </c>
      <c r="F403" s="13" t="str">
        <f>TEXT(Table1[[#This Row],[Order Date]],"MMMM")</f>
        <v>October</v>
      </c>
      <c r="G403" s="13">
        <f t="shared" si="12"/>
        <v>2023</v>
      </c>
      <c r="H403" s="13" t="str">
        <f t="shared" si="13"/>
        <v>Q4</v>
      </c>
      <c r="I403" s="1" t="s">
        <v>14</v>
      </c>
      <c r="J403" s="7" t="s">
        <v>26</v>
      </c>
      <c r="K403" s="7" t="s">
        <v>16</v>
      </c>
      <c r="L403" t="s">
        <v>33</v>
      </c>
      <c r="M403" s="9">
        <v>763.22</v>
      </c>
      <c r="N403" s="4">
        <v>1</v>
      </c>
      <c r="O403" s="12">
        <v>0.2</v>
      </c>
      <c r="P403" s="9">
        <v>-39.86</v>
      </c>
      <c r="Q403" s="10">
        <f>Table1[[#This Row],[Profit]]/Table1[[#This Row],[Sales]]</f>
        <v>-5.2226094704017186E-2</v>
      </c>
      <c r="R403" t="str">
        <f>IF(Table1[[#This Row],[Profit Margin]]&gt;0,"profit","loss")</f>
        <v>loss</v>
      </c>
      <c r="S403" t="str">
        <f>IF(Table1[[#This Row],[Discount]]=0,"No Discount",IF(Table1[[#This Row],[Discount]]&lt;=0.2,"low",IF(Table1[[#This Row],[Discount]]&lt;=0.3,"medium","high")))</f>
        <v>low</v>
      </c>
      <c r="T403" s="15" t="str">
        <f>IF(Table1[[#This Row],[Days]]&lt;=2,"faster",IF(Table1[[#This Row],[Days]]&lt;=4,"Normal","slow"))</f>
        <v>faster</v>
      </c>
    </row>
    <row r="404" spans="1:20" x14ac:dyDescent="0.25">
      <c r="A404" s="4" t="s">
        <v>437</v>
      </c>
      <c r="B404" s="1">
        <v>45131</v>
      </c>
      <c r="C404" s="1">
        <v>45134</v>
      </c>
      <c r="D404" s="13">
        <f>Table1[[#This Row],[Shipped date]]-Table1[[#This Row],[Order Date]]</f>
        <v>3</v>
      </c>
      <c r="E404" t="s">
        <v>13</v>
      </c>
      <c r="F404" s="13" t="str">
        <f>TEXT(Table1[[#This Row],[Order Date]],"MMMM")</f>
        <v>July</v>
      </c>
      <c r="G404" s="13">
        <f t="shared" si="12"/>
        <v>2023</v>
      </c>
      <c r="H404" s="13" t="str">
        <f t="shared" si="13"/>
        <v>Q3</v>
      </c>
      <c r="I404" s="1" t="s">
        <v>20</v>
      </c>
      <c r="J404" s="7" t="s">
        <v>21</v>
      </c>
      <c r="K404" s="7" t="s">
        <v>16</v>
      </c>
      <c r="L404" t="s">
        <v>38</v>
      </c>
      <c r="M404" s="9">
        <v>665.61</v>
      </c>
      <c r="N404" s="4">
        <v>7</v>
      </c>
      <c r="O404" s="12">
        <v>0.1</v>
      </c>
      <c r="P404" s="9">
        <v>24.61</v>
      </c>
      <c r="Q404" s="10">
        <f>Table1[[#This Row],[Profit]]/Table1[[#This Row],[Sales]]</f>
        <v>3.6973603161010199E-2</v>
      </c>
      <c r="R404" t="str">
        <f>IF(Table1[[#This Row],[Profit Margin]]&gt;0,"profit","loss")</f>
        <v>profit</v>
      </c>
      <c r="S404" t="str">
        <f>IF(Table1[[#This Row],[Discount]]=0,"No Discount",IF(Table1[[#This Row],[Discount]]&lt;=0.2,"low",IF(Table1[[#This Row],[Discount]]&lt;=0.3,"medium","high")))</f>
        <v>low</v>
      </c>
      <c r="T404" s="15" t="str">
        <f>IF(Table1[[#This Row],[Days]]&lt;=2,"faster",IF(Table1[[#This Row],[Days]]&lt;=4,"Normal","slow"))</f>
        <v>Normal</v>
      </c>
    </row>
    <row r="405" spans="1:20" x14ac:dyDescent="0.25">
      <c r="A405" s="4" t="s">
        <v>438</v>
      </c>
      <c r="B405" s="1">
        <v>45122</v>
      </c>
      <c r="C405" s="1">
        <v>45128</v>
      </c>
      <c r="D405" s="13">
        <f>Table1[[#This Row],[Shipped date]]-Table1[[#This Row],[Order Date]]</f>
        <v>6</v>
      </c>
      <c r="E405" t="s">
        <v>13</v>
      </c>
      <c r="F405" s="13" t="str">
        <f>TEXT(Table1[[#This Row],[Order Date]],"MMMM")</f>
        <v>July</v>
      </c>
      <c r="G405" s="13">
        <f t="shared" si="12"/>
        <v>2023</v>
      </c>
      <c r="H405" s="13" t="str">
        <f t="shared" si="13"/>
        <v>Q3</v>
      </c>
      <c r="I405" s="1" t="s">
        <v>14</v>
      </c>
      <c r="J405" s="7" t="s">
        <v>15</v>
      </c>
      <c r="K405" s="7" t="s">
        <v>16</v>
      </c>
      <c r="L405" t="s">
        <v>17</v>
      </c>
      <c r="M405" s="9">
        <v>980.97</v>
      </c>
      <c r="N405" s="4">
        <v>5</v>
      </c>
      <c r="O405" s="12">
        <v>0.1</v>
      </c>
      <c r="P405" s="9">
        <v>14.26</v>
      </c>
      <c r="Q405" s="10">
        <f>Table1[[#This Row],[Profit]]/Table1[[#This Row],[Sales]]</f>
        <v>1.4536632109034935E-2</v>
      </c>
      <c r="R405" t="str">
        <f>IF(Table1[[#This Row],[Profit Margin]]&gt;0,"profit","loss")</f>
        <v>profit</v>
      </c>
      <c r="S405" t="str">
        <f>IF(Table1[[#This Row],[Discount]]=0,"No Discount",IF(Table1[[#This Row],[Discount]]&lt;=0.2,"low",IF(Table1[[#This Row],[Discount]]&lt;=0.3,"medium","high")))</f>
        <v>low</v>
      </c>
      <c r="T405" s="15" t="str">
        <f>IF(Table1[[#This Row],[Days]]&lt;=2,"faster",IF(Table1[[#This Row],[Days]]&lt;=4,"Normal","slow"))</f>
        <v>slow</v>
      </c>
    </row>
    <row r="406" spans="1:20" x14ac:dyDescent="0.25">
      <c r="A406" s="4" t="s">
        <v>439</v>
      </c>
      <c r="B406" s="1">
        <v>45083</v>
      </c>
      <c r="C406" s="1">
        <v>45087</v>
      </c>
      <c r="D406" s="13">
        <f>Table1[[#This Row],[Shipped date]]-Table1[[#This Row],[Order Date]]</f>
        <v>4</v>
      </c>
      <c r="E406" t="s">
        <v>19</v>
      </c>
      <c r="F406" s="13" t="str">
        <f>TEXT(Table1[[#This Row],[Order Date]],"MMMM")</f>
        <v>June</v>
      </c>
      <c r="G406" s="13">
        <f t="shared" si="12"/>
        <v>2023</v>
      </c>
      <c r="H406" s="13" t="str">
        <f t="shared" si="13"/>
        <v>Q2</v>
      </c>
      <c r="I406" s="1" t="s">
        <v>37</v>
      </c>
      <c r="J406" s="7" t="s">
        <v>32</v>
      </c>
      <c r="K406" s="7" t="s">
        <v>16</v>
      </c>
      <c r="L406" t="s">
        <v>17</v>
      </c>
      <c r="M406" s="9">
        <v>236.79</v>
      </c>
      <c r="N406" s="4">
        <v>1</v>
      </c>
      <c r="O406" s="12">
        <v>0.1</v>
      </c>
      <c r="P406" s="9">
        <v>-16.39</v>
      </c>
      <c r="Q406" s="10">
        <f>Table1[[#This Row],[Profit]]/Table1[[#This Row],[Sales]]</f>
        <v>-6.9217450061235697E-2</v>
      </c>
      <c r="R406" t="str">
        <f>IF(Table1[[#This Row],[Profit Margin]]&gt;0,"profit","loss")</f>
        <v>loss</v>
      </c>
      <c r="S406" t="str">
        <f>IF(Table1[[#This Row],[Discount]]=0,"No Discount",IF(Table1[[#This Row],[Discount]]&lt;=0.2,"low",IF(Table1[[#This Row],[Discount]]&lt;=0.3,"medium","high")))</f>
        <v>low</v>
      </c>
      <c r="T406" s="15" t="str">
        <f>IF(Table1[[#This Row],[Days]]&lt;=2,"faster",IF(Table1[[#This Row],[Days]]&lt;=4,"Normal","slow"))</f>
        <v>Normal</v>
      </c>
    </row>
    <row r="407" spans="1:20" x14ac:dyDescent="0.25">
      <c r="A407" s="4" t="s">
        <v>440</v>
      </c>
      <c r="B407" s="1">
        <v>45151</v>
      </c>
      <c r="C407" s="1">
        <v>45152</v>
      </c>
      <c r="D407" s="13">
        <f>Table1[[#This Row],[Shipped date]]-Table1[[#This Row],[Order Date]]</f>
        <v>1</v>
      </c>
      <c r="E407" t="s">
        <v>13</v>
      </c>
      <c r="F407" s="13" t="str">
        <f>TEXT(Table1[[#This Row],[Order Date]],"MMMM")</f>
        <v>August</v>
      </c>
      <c r="G407" s="13">
        <f t="shared" si="12"/>
        <v>2023</v>
      </c>
      <c r="H407" s="13" t="str">
        <f t="shared" si="13"/>
        <v>Q3</v>
      </c>
      <c r="I407" s="1" t="s">
        <v>14</v>
      </c>
      <c r="J407" s="7" t="s">
        <v>21</v>
      </c>
      <c r="K407" s="7" t="s">
        <v>22</v>
      </c>
      <c r="L407" t="s">
        <v>23</v>
      </c>
      <c r="M407" s="9">
        <v>676.52</v>
      </c>
      <c r="N407" s="4">
        <v>4</v>
      </c>
      <c r="O407" s="12">
        <v>0.3</v>
      </c>
      <c r="P407" s="9">
        <v>-105.91</v>
      </c>
      <c r="Q407" s="10">
        <f>Table1[[#This Row],[Profit]]/Table1[[#This Row],[Sales]]</f>
        <v>-0.15655117365340271</v>
      </c>
      <c r="R407" t="str">
        <f>IF(Table1[[#This Row],[Profit Margin]]&gt;0,"profit","loss")</f>
        <v>loss</v>
      </c>
      <c r="S407" t="str">
        <f>IF(Table1[[#This Row],[Discount]]=0,"No Discount",IF(Table1[[#This Row],[Discount]]&lt;=0.2,"low",IF(Table1[[#This Row],[Discount]]&lt;=0.3,"medium","high")))</f>
        <v>medium</v>
      </c>
      <c r="T407" s="15" t="str">
        <f>IF(Table1[[#This Row],[Days]]&lt;=2,"faster",IF(Table1[[#This Row],[Days]]&lt;=4,"Normal","slow"))</f>
        <v>faster</v>
      </c>
    </row>
    <row r="408" spans="1:20" x14ac:dyDescent="0.25">
      <c r="A408" s="4" t="s">
        <v>441</v>
      </c>
      <c r="B408" s="1">
        <v>45018</v>
      </c>
      <c r="C408" s="1">
        <v>45025</v>
      </c>
      <c r="D408" s="13">
        <f>Table1[[#This Row],[Shipped date]]-Table1[[#This Row],[Order Date]]</f>
        <v>7</v>
      </c>
      <c r="E408" t="s">
        <v>28</v>
      </c>
      <c r="F408" s="13" t="str">
        <f>TEXT(Table1[[#This Row],[Order Date]],"MMMM")</f>
        <v>April</v>
      </c>
      <c r="G408" s="13">
        <f t="shared" si="12"/>
        <v>2023</v>
      </c>
      <c r="H408" s="13" t="str">
        <f t="shared" si="13"/>
        <v>Q2</v>
      </c>
      <c r="I408" s="1" t="s">
        <v>20</v>
      </c>
      <c r="J408" s="7" t="s">
        <v>15</v>
      </c>
      <c r="K408" s="7" t="s">
        <v>16</v>
      </c>
      <c r="L408" t="s">
        <v>17</v>
      </c>
      <c r="M408" s="9">
        <v>926.74</v>
      </c>
      <c r="N408" s="4">
        <v>5</v>
      </c>
      <c r="O408" s="12">
        <v>0.2</v>
      </c>
      <c r="P408" s="9">
        <v>-73.77</v>
      </c>
      <c r="Q408" s="10">
        <f>Table1[[#This Row],[Profit]]/Table1[[#This Row],[Sales]]</f>
        <v>-7.9601614260741957E-2</v>
      </c>
      <c r="R408" t="str">
        <f>IF(Table1[[#This Row],[Profit Margin]]&gt;0,"profit","loss")</f>
        <v>loss</v>
      </c>
      <c r="S408" t="str">
        <f>IF(Table1[[#This Row],[Discount]]=0,"No Discount",IF(Table1[[#This Row],[Discount]]&lt;=0.2,"low",IF(Table1[[#This Row],[Discount]]&lt;=0.3,"medium","high")))</f>
        <v>low</v>
      </c>
      <c r="T408" s="15" t="str">
        <f>IF(Table1[[#This Row],[Days]]&lt;=2,"faster",IF(Table1[[#This Row],[Days]]&lt;=4,"Normal","slow"))</f>
        <v>slow</v>
      </c>
    </row>
    <row r="409" spans="1:20" x14ac:dyDescent="0.25">
      <c r="A409" s="4" t="s">
        <v>442</v>
      </c>
      <c r="B409" s="1">
        <v>45170</v>
      </c>
      <c r="C409" s="1">
        <v>45174</v>
      </c>
      <c r="D409" s="13">
        <f>Table1[[#This Row],[Shipped date]]-Table1[[#This Row],[Order Date]]</f>
        <v>4</v>
      </c>
      <c r="E409" t="s">
        <v>13</v>
      </c>
      <c r="F409" s="13" t="str">
        <f>TEXT(Table1[[#This Row],[Order Date]],"MMMM")</f>
        <v>September</v>
      </c>
      <c r="G409" s="13">
        <f t="shared" si="12"/>
        <v>2023</v>
      </c>
      <c r="H409" s="13" t="str">
        <f t="shared" si="13"/>
        <v>Q3</v>
      </c>
      <c r="I409" s="1" t="s">
        <v>20</v>
      </c>
      <c r="J409" s="7" t="s">
        <v>26</v>
      </c>
      <c r="K409" s="7" t="s">
        <v>16</v>
      </c>
      <c r="L409" t="s">
        <v>17</v>
      </c>
      <c r="M409" s="9">
        <v>483.75</v>
      </c>
      <c r="N409" s="4">
        <v>4</v>
      </c>
      <c r="O409" s="12">
        <v>0.2</v>
      </c>
      <c r="P409" s="9">
        <v>-66</v>
      </c>
      <c r="Q409" s="10">
        <f>Table1[[#This Row],[Profit]]/Table1[[#This Row],[Sales]]</f>
        <v>-0.13643410852713178</v>
      </c>
      <c r="R409" t="str">
        <f>IF(Table1[[#This Row],[Profit Margin]]&gt;0,"profit","loss")</f>
        <v>loss</v>
      </c>
      <c r="S409" t="str">
        <f>IF(Table1[[#This Row],[Discount]]=0,"No Discount",IF(Table1[[#This Row],[Discount]]&lt;=0.2,"low",IF(Table1[[#This Row],[Discount]]&lt;=0.3,"medium","high")))</f>
        <v>low</v>
      </c>
      <c r="T409" s="15" t="str">
        <f>IF(Table1[[#This Row],[Days]]&lt;=2,"faster",IF(Table1[[#This Row],[Days]]&lt;=4,"Normal","slow"))</f>
        <v>Normal</v>
      </c>
    </row>
    <row r="410" spans="1:20" x14ac:dyDescent="0.25">
      <c r="A410" s="4" t="s">
        <v>443</v>
      </c>
      <c r="B410" s="1">
        <v>45184</v>
      </c>
      <c r="C410" s="1">
        <v>45189</v>
      </c>
      <c r="D410" s="13">
        <f>Table1[[#This Row],[Shipped date]]-Table1[[#This Row],[Order Date]]</f>
        <v>5</v>
      </c>
      <c r="E410" t="s">
        <v>13</v>
      </c>
      <c r="F410" s="13" t="str">
        <f>TEXT(Table1[[#This Row],[Order Date]],"MMMM")</f>
        <v>September</v>
      </c>
      <c r="G410" s="13">
        <f t="shared" si="12"/>
        <v>2023</v>
      </c>
      <c r="H410" s="13" t="str">
        <f t="shared" si="13"/>
        <v>Q3</v>
      </c>
      <c r="I410" s="1" t="s">
        <v>37</v>
      </c>
      <c r="J410" s="7" t="s">
        <v>21</v>
      </c>
      <c r="K410" s="7" t="s">
        <v>29</v>
      </c>
      <c r="L410" t="s">
        <v>43</v>
      </c>
      <c r="M410" s="9">
        <v>703.47</v>
      </c>
      <c r="N410" s="4">
        <v>4</v>
      </c>
      <c r="O410" s="12">
        <v>0</v>
      </c>
      <c r="P410" s="9">
        <v>63.83</v>
      </c>
      <c r="Q410" s="10">
        <f>Table1[[#This Row],[Profit]]/Table1[[#This Row],[Sales]]</f>
        <v>9.0735923351386694E-2</v>
      </c>
      <c r="R410" t="str">
        <f>IF(Table1[[#This Row],[Profit Margin]]&gt;0,"profit","loss")</f>
        <v>profit</v>
      </c>
      <c r="S410" t="str">
        <f>IF(Table1[[#This Row],[Discount]]=0,"No Discount",IF(Table1[[#This Row],[Discount]]&lt;=0.2,"low",IF(Table1[[#This Row],[Discount]]&lt;=0.3,"medium","high")))</f>
        <v>No Discount</v>
      </c>
      <c r="T410" s="15" t="str">
        <f>IF(Table1[[#This Row],[Days]]&lt;=2,"faster",IF(Table1[[#This Row],[Days]]&lt;=4,"Normal","slow"))</f>
        <v>slow</v>
      </c>
    </row>
    <row r="411" spans="1:20" x14ac:dyDescent="0.25">
      <c r="A411" s="4" t="s">
        <v>444</v>
      </c>
      <c r="B411" s="1">
        <v>45073</v>
      </c>
      <c r="C411" s="1">
        <v>45078</v>
      </c>
      <c r="D411" s="13">
        <f>Table1[[#This Row],[Shipped date]]-Table1[[#This Row],[Order Date]]</f>
        <v>5</v>
      </c>
      <c r="E411" t="s">
        <v>25</v>
      </c>
      <c r="F411" s="13" t="str">
        <f>TEXT(Table1[[#This Row],[Order Date]],"MMMM")</f>
        <v>May</v>
      </c>
      <c r="G411" s="13">
        <f t="shared" si="12"/>
        <v>2023</v>
      </c>
      <c r="H411" s="13" t="str">
        <f t="shared" si="13"/>
        <v>Q2</v>
      </c>
      <c r="I411" s="1" t="s">
        <v>14</v>
      </c>
      <c r="J411" s="7" t="s">
        <v>26</v>
      </c>
      <c r="K411" s="7" t="s">
        <v>29</v>
      </c>
      <c r="L411" t="s">
        <v>45</v>
      </c>
      <c r="M411" s="9">
        <v>132.97999999999999</v>
      </c>
      <c r="N411" s="4">
        <v>7</v>
      </c>
      <c r="O411" s="12">
        <v>0.2</v>
      </c>
      <c r="P411" s="9">
        <v>32.799999999999997</v>
      </c>
      <c r="Q411" s="10">
        <f>Table1[[#This Row],[Profit]]/Table1[[#This Row],[Sales]]</f>
        <v>0.24665363212513158</v>
      </c>
      <c r="R411" t="str">
        <f>IF(Table1[[#This Row],[Profit Margin]]&gt;0,"profit","loss")</f>
        <v>profit</v>
      </c>
      <c r="S411" t="str">
        <f>IF(Table1[[#This Row],[Discount]]=0,"No Discount",IF(Table1[[#This Row],[Discount]]&lt;=0.2,"low",IF(Table1[[#This Row],[Discount]]&lt;=0.3,"medium","high")))</f>
        <v>low</v>
      </c>
      <c r="T411" s="15" t="str">
        <f>IF(Table1[[#This Row],[Days]]&lt;=2,"faster",IF(Table1[[#This Row],[Days]]&lt;=4,"Normal","slow"))</f>
        <v>slow</v>
      </c>
    </row>
    <row r="412" spans="1:20" x14ac:dyDescent="0.25">
      <c r="A412" s="4" t="s">
        <v>445</v>
      </c>
      <c r="B412" s="1">
        <v>44941</v>
      </c>
      <c r="C412" s="1">
        <v>44947</v>
      </c>
      <c r="D412" s="13">
        <f>Table1[[#This Row],[Shipped date]]-Table1[[#This Row],[Order Date]]</f>
        <v>6</v>
      </c>
      <c r="E412" t="s">
        <v>19</v>
      </c>
      <c r="F412" s="13" t="str">
        <f>TEXT(Table1[[#This Row],[Order Date]],"MMMM")</f>
        <v>January</v>
      </c>
      <c r="G412" s="13">
        <f t="shared" si="12"/>
        <v>2023</v>
      </c>
      <c r="H412" s="13" t="str">
        <f t="shared" si="13"/>
        <v>Q1</v>
      </c>
      <c r="I412" s="1" t="s">
        <v>14</v>
      </c>
      <c r="J412" s="7" t="s">
        <v>15</v>
      </c>
      <c r="K412" s="7" t="s">
        <v>29</v>
      </c>
      <c r="L412" t="s">
        <v>43</v>
      </c>
      <c r="M412" s="9">
        <v>484.73</v>
      </c>
      <c r="N412" s="4">
        <v>9</v>
      </c>
      <c r="O412" s="12">
        <v>0.1</v>
      </c>
      <c r="P412" s="9">
        <v>-16.16</v>
      </c>
      <c r="Q412" s="10">
        <f>Table1[[#This Row],[Profit]]/Table1[[#This Row],[Sales]]</f>
        <v>-3.3338147009675488E-2</v>
      </c>
      <c r="R412" t="str">
        <f>IF(Table1[[#This Row],[Profit Margin]]&gt;0,"profit","loss")</f>
        <v>loss</v>
      </c>
      <c r="S412" t="str">
        <f>IF(Table1[[#This Row],[Discount]]=0,"No Discount",IF(Table1[[#This Row],[Discount]]&lt;=0.2,"low",IF(Table1[[#This Row],[Discount]]&lt;=0.3,"medium","high")))</f>
        <v>low</v>
      </c>
      <c r="T412" s="15" t="str">
        <f>IF(Table1[[#This Row],[Days]]&lt;=2,"faster",IF(Table1[[#This Row],[Days]]&lt;=4,"Normal","slow"))</f>
        <v>slow</v>
      </c>
    </row>
    <row r="413" spans="1:20" x14ac:dyDescent="0.25">
      <c r="A413" s="4" t="s">
        <v>446</v>
      </c>
      <c r="B413" s="1">
        <v>45071</v>
      </c>
      <c r="C413" s="1">
        <v>45076</v>
      </c>
      <c r="D413" s="13">
        <f>Table1[[#This Row],[Shipped date]]-Table1[[#This Row],[Order Date]]</f>
        <v>5</v>
      </c>
      <c r="E413" t="s">
        <v>19</v>
      </c>
      <c r="F413" s="13" t="str">
        <f>TEXT(Table1[[#This Row],[Order Date]],"MMMM")</f>
        <v>May</v>
      </c>
      <c r="G413" s="13">
        <f t="shared" si="12"/>
        <v>2023</v>
      </c>
      <c r="H413" s="13" t="str">
        <f t="shared" si="13"/>
        <v>Q2</v>
      </c>
      <c r="I413" s="1" t="s">
        <v>14</v>
      </c>
      <c r="J413" s="7" t="s">
        <v>21</v>
      </c>
      <c r="K413" s="7" t="s">
        <v>16</v>
      </c>
      <c r="L413" t="s">
        <v>33</v>
      </c>
      <c r="M413" s="9">
        <v>466.04</v>
      </c>
      <c r="N413" s="4">
        <v>7</v>
      </c>
      <c r="O413" s="12">
        <v>0.2</v>
      </c>
      <c r="P413" s="9">
        <v>-8.58</v>
      </c>
      <c r="Q413" s="10">
        <f>Table1[[#This Row],[Profit]]/Table1[[#This Row],[Sales]]</f>
        <v>-1.8410436872371469E-2</v>
      </c>
      <c r="R413" t="str">
        <f>IF(Table1[[#This Row],[Profit Margin]]&gt;0,"profit","loss")</f>
        <v>loss</v>
      </c>
      <c r="S413" t="str">
        <f>IF(Table1[[#This Row],[Discount]]=0,"No Discount",IF(Table1[[#This Row],[Discount]]&lt;=0.2,"low",IF(Table1[[#This Row],[Discount]]&lt;=0.3,"medium","high")))</f>
        <v>low</v>
      </c>
      <c r="T413" s="15" t="str">
        <f>IF(Table1[[#This Row],[Days]]&lt;=2,"faster",IF(Table1[[#This Row],[Days]]&lt;=4,"Normal","slow"))</f>
        <v>slow</v>
      </c>
    </row>
    <row r="414" spans="1:20" x14ac:dyDescent="0.25">
      <c r="A414" s="4" t="s">
        <v>447</v>
      </c>
      <c r="B414" s="1">
        <v>45054</v>
      </c>
      <c r="C414" s="1">
        <v>45056</v>
      </c>
      <c r="D414" s="13">
        <f>Table1[[#This Row],[Shipped date]]-Table1[[#This Row],[Order Date]]</f>
        <v>2</v>
      </c>
      <c r="E414" t="s">
        <v>28</v>
      </c>
      <c r="F414" s="13" t="str">
        <f>TEXT(Table1[[#This Row],[Order Date]],"MMMM")</f>
        <v>May</v>
      </c>
      <c r="G414" s="13">
        <f t="shared" si="12"/>
        <v>2023</v>
      </c>
      <c r="H414" s="13" t="str">
        <f t="shared" si="13"/>
        <v>Q2</v>
      </c>
      <c r="I414" s="1" t="s">
        <v>20</v>
      </c>
      <c r="J414" s="7" t="s">
        <v>21</v>
      </c>
      <c r="K414" s="7" t="s">
        <v>16</v>
      </c>
      <c r="L414" t="s">
        <v>38</v>
      </c>
      <c r="M414" s="9">
        <v>56.27</v>
      </c>
      <c r="N414" s="4">
        <v>10</v>
      </c>
      <c r="O414" s="12">
        <v>0.2</v>
      </c>
      <c r="P414" s="9">
        <v>-0.1</v>
      </c>
      <c r="Q414" s="10">
        <f>Table1[[#This Row],[Profit]]/Table1[[#This Row],[Sales]]</f>
        <v>-1.7771459036786919E-3</v>
      </c>
      <c r="R414" t="str">
        <f>IF(Table1[[#This Row],[Profit Margin]]&gt;0,"profit","loss")</f>
        <v>loss</v>
      </c>
      <c r="S414" t="str">
        <f>IF(Table1[[#This Row],[Discount]]=0,"No Discount",IF(Table1[[#This Row],[Discount]]&lt;=0.2,"low",IF(Table1[[#This Row],[Discount]]&lt;=0.3,"medium","high")))</f>
        <v>low</v>
      </c>
      <c r="T414" s="15" t="str">
        <f>IF(Table1[[#This Row],[Days]]&lt;=2,"faster",IF(Table1[[#This Row],[Days]]&lt;=4,"Normal","slow"))</f>
        <v>faster</v>
      </c>
    </row>
    <row r="415" spans="1:20" x14ac:dyDescent="0.25">
      <c r="A415" s="4" t="s">
        <v>448</v>
      </c>
      <c r="B415" s="1">
        <v>45235</v>
      </c>
      <c r="C415" s="1">
        <v>45238</v>
      </c>
      <c r="D415" s="13">
        <f>Table1[[#This Row],[Shipped date]]-Table1[[#This Row],[Order Date]]</f>
        <v>3</v>
      </c>
      <c r="E415" t="s">
        <v>28</v>
      </c>
      <c r="F415" s="13" t="str">
        <f>TEXT(Table1[[#This Row],[Order Date]],"MMMM")</f>
        <v>November</v>
      </c>
      <c r="G415" s="13">
        <f t="shared" si="12"/>
        <v>2023</v>
      </c>
      <c r="H415" s="13" t="str">
        <f t="shared" si="13"/>
        <v>Q4</v>
      </c>
      <c r="I415" s="1" t="s">
        <v>20</v>
      </c>
      <c r="J415" s="7" t="s">
        <v>21</v>
      </c>
      <c r="K415" s="7" t="s">
        <v>16</v>
      </c>
      <c r="L415" t="s">
        <v>17</v>
      </c>
      <c r="M415" s="9">
        <v>569.46</v>
      </c>
      <c r="N415" s="4">
        <v>7</v>
      </c>
      <c r="O415" s="12">
        <v>0</v>
      </c>
      <c r="P415" s="9">
        <v>42.33</v>
      </c>
      <c r="Q415" s="10">
        <f>Table1[[#This Row],[Profit]]/Table1[[#This Row],[Sales]]</f>
        <v>7.4333579180276041E-2</v>
      </c>
      <c r="R415" t="str">
        <f>IF(Table1[[#This Row],[Profit Margin]]&gt;0,"profit","loss")</f>
        <v>profit</v>
      </c>
      <c r="S415" t="str">
        <f>IF(Table1[[#This Row],[Discount]]=0,"No Discount",IF(Table1[[#This Row],[Discount]]&lt;=0.2,"low",IF(Table1[[#This Row],[Discount]]&lt;=0.3,"medium","high")))</f>
        <v>No Discount</v>
      </c>
      <c r="T415" s="15" t="str">
        <f>IF(Table1[[#This Row],[Days]]&lt;=2,"faster",IF(Table1[[#This Row],[Days]]&lt;=4,"Normal","slow"))</f>
        <v>Normal</v>
      </c>
    </row>
    <row r="416" spans="1:20" x14ac:dyDescent="0.25">
      <c r="A416" s="4" t="s">
        <v>449</v>
      </c>
      <c r="B416" s="1">
        <v>45049</v>
      </c>
      <c r="C416" s="1">
        <v>45050</v>
      </c>
      <c r="D416" s="13">
        <f>Table1[[#This Row],[Shipped date]]-Table1[[#This Row],[Order Date]]</f>
        <v>1</v>
      </c>
      <c r="E416" t="s">
        <v>25</v>
      </c>
      <c r="F416" s="13" t="str">
        <f>TEXT(Table1[[#This Row],[Order Date]],"MMMM")</f>
        <v>May</v>
      </c>
      <c r="G416" s="13">
        <f t="shared" si="12"/>
        <v>2023</v>
      </c>
      <c r="H416" s="13" t="str">
        <f t="shared" si="13"/>
        <v>Q2</v>
      </c>
      <c r="I416" s="1" t="s">
        <v>20</v>
      </c>
      <c r="J416" s="7" t="s">
        <v>15</v>
      </c>
      <c r="K416" s="7" t="s">
        <v>29</v>
      </c>
      <c r="L416" t="s">
        <v>30</v>
      </c>
      <c r="M416" s="9">
        <v>702.36</v>
      </c>
      <c r="N416" s="4">
        <v>2</v>
      </c>
      <c r="O416" s="12">
        <v>0.3</v>
      </c>
      <c r="P416" s="9">
        <v>-129.6</v>
      </c>
      <c r="Q416" s="10">
        <f>Table1[[#This Row],[Profit]]/Table1[[#This Row],[Sales]]</f>
        <v>-0.18452075858534084</v>
      </c>
      <c r="R416" t="str">
        <f>IF(Table1[[#This Row],[Profit Margin]]&gt;0,"profit","loss")</f>
        <v>loss</v>
      </c>
      <c r="S416" t="str">
        <f>IF(Table1[[#This Row],[Discount]]=0,"No Discount",IF(Table1[[#This Row],[Discount]]&lt;=0.2,"low",IF(Table1[[#This Row],[Discount]]&lt;=0.3,"medium","high")))</f>
        <v>medium</v>
      </c>
      <c r="T416" s="15" t="str">
        <f>IF(Table1[[#This Row],[Days]]&lt;=2,"faster",IF(Table1[[#This Row],[Days]]&lt;=4,"Normal","slow"))</f>
        <v>faster</v>
      </c>
    </row>
    <row r="417" spans="1:20" x14ac:dyDescent="0.25">
      <c r="A417" s="4" t="s">
        <v>450</v>
      </c>
      <c r="B417" s="1">
        <v>45158</v>
      </c>
      <c r="C417" s="1">
        <v>45165</v>
      </c>
      <c r="D417" s="13">
        <f>Table1[[#This Row],[Shipped date]]-Table1[[#This Row],[Order Date]]</f>
        <v>7</v>
      </c>
      <c r="E417" t="s">
        <v>28</v>
      </c>
      <c r="F417" s="13" t="str">
        <f>TEXT(Table1[[#This Row],[Order Date]],"MMMM")</f>
        <v>August</v>
      </c>
      <c r="G417" s="13">
        <f t="shared" si="12"/>
        <v>2023</v>
      </c>
      <c r="H417" s="13" t="str">
        <f t="shared" si="13"/>
        <v>Q3</v>
      </c>
      <c r="I417" s="1" t="s">
        <v>20</v>
      </c>
      <c r="J417" s="7" t="s">
        <v>15</v>
      </c>
      <c r="K417" s="7" t="s">
        <v>16</v>
      </c>
      <c r="L417" t="s">
        <v>33</v>
      </c>
      <c r="M417" s="9">
        <v>416.4</v>
      </c>
      <c r="N417" s="4">
        <v>3</v>
      </c>
      <c r="O417" s="12">
        <v>0.2</v>
      </c>
      <c r="P417" s="9">
        <v>-39.57</v>
      </c>
      <c r="Q417" s="10">
        <f>Table1[[#This Row],[Profit]]/Table1[[#This Row],[Sales]]</f>
        <v>-9.5028818443804036E-2</v>
      </c>
      <c r="R417" t="str">
        <f>IF(Table1[[#This Row],[Profit Margin]]&gt;0,"profit","loss")</f>
        <v>loss</v>
      </c>
      <c r="S417" t="str">
        <f>IF(Table1[[#This Row],[Discount]]=0,"No Discount",IF(Table1[[#This Row],[Discount]]&lt;=0.2,"low",IF(Table1[[#This Row],[Discount]]&lt;=0.3,"medium","high")))</f>
        <v>low</v>
      </c>
      <c r="T417" s="15" t="str">
        <f>IF(Table1[[#This Row],[Days]]&lt;=2,"faster",IF(Table1[[#This Row],[Days]]&lt;=4,"Normal","slow"))</f>
        <v>slow</v>
      </c>
    </row>
    <row r="418" spans="1:20" x14ac:dyDescent="0.25">
      <c r="A418" s="4" t="s">
        <v>451</v>
      </c>
      <c r="B418" s="1">
        <v>45152</v>
      </c>
      <c r="C418" s="1">
        <v>45158</v>
      </c>
      <c r="D418" s="13">
        <f>Table1[[#This Row],[Shipped date]]-Table1[[#This Row],[Order Date]]</f>
        <v>6</v>
      </c>
      <c r="E418" t="s">
        <v>25</v>
      </c>
      <c r="F418" s="13" t="str">
        <f>TEXT(Table1[[#This Row],[Order Date]],"MMMM")</f>
        <v>August</v>
      </c>
      <c r="G418" s="13">
        <f t="shared" si="12"/>
        <v>2023</v>
      </c>
      <c r="H418" s="13" t="str">
        <f t="shared" si="13"/>
        <v>Q3</v>
      </c>
      <c r="I418" s="1" t="s">
        <v>14</v>
      </c>
      <c r="J418" s="7" t="s">
        <v>21</v>
      </c>
      <c r="K418" s="7" t="s">
        <v>29</v>
      </c>
      <c r="L418" t="s">
        <v>45</v>
      </c>
      <c r="M418" s="9">
        <v>548.70000000000005</v>
      </c>
      <c r="N418" s="4">
        <v>2</v>
      </c>
      <c r="O418" s="12">
        <v>0</v>
      </c>
      <c r="P418" s="9">
        <v>81.19</v>
      </c>
      <c r="Q418" s="10">
        <f>Table1[[#This Row],[Profit]]/Table1[[#This Row],[Sales]]</f>
        <v>0.14796792418443591</v>
      </c>
      <c r="R418" t="str">
        <f>IF(Table1[[#This Row],[Profit Margin]]&gt;0,"profit","loss")</f>
        <v>profit</v>
      </c>
      <c r="S418" t="str">
        <f>IF(Table1[[#This Row],[Discount]]=0,"No Discount",IF(Table1[[#This Row],[Discount]]&lt;=0.2,"low",IF(Table1[[#This Row],[Discount]]&lt;=0.3,"medium","high")))</f>
        <v>No Discount</v>
      </c>
      <c r="T418" s="15" t="str">
        <f>IF(Table1[[#This Row],[Days]]&lt;=2,"faster",IF(Table1[[#This Row],[Days]]&lt;=4,"Normal","slow"))</f>
        <v>slow</v>
      </c>
    </row>
    <row r="419" spans="1:20" x14ac:dyDescent="0.25">
      <c r="A419" s="4" t="s">
        <v>452</v>
      </c>
      <c r="B419" s="1">
        <v>45014</v>
      </c>
      <c r="C419" s="1">
        <v>45019</v>
      </c>
      <c r="D419" s="13">
        <f>Table1[[#This Row],[Shipped date]]-Table1[[#This Row],[Order Date]]</f>
        <v>5</v>
      </c>
      <c r="E419" t="s">
        <v>13</v>
      </c>
      <c r="F419" s="13" t="str">
        <f>TEXT(Table1[[#This Row],[Order Date]],"MMMM")</f>
        <v>March</v>
      </c>
      <c r="G419" s="13">
        <f t="shared" si="12"/>
        <v>2023</v>
      </c>
      <c r="H419" s="13" t="str">
        <f t="shared" si="13"/>
        <v>Q1</v>
      </c>
      <c r="I419" s="1" t="s">
        <v>20</v>
      </c>
      <c r="J419" s="7" t="s">
        <v>32</v>
      </c>
      <c r="K419" s="7" t="s">
        <v>16</v>
      </c>
      <c r="L419" t="s">
        <v>17</v>
      </c>
      <c r="M419" s="9">
        <v>743.1</v>
      </c>
      <c r="N419" s="4">
        <v>1</v>
      </c>
      <c r="O419" s="12">
        <v>0</v>
      </c>
      <c r="P419" s="9">
        <v>116.33</v>
      </c>
      <c r="Q419" s="10">
        <f>Table1[[#This Row],[Profit]]/Table1[[#This Row],[Sales]]</f>
        <v>0.15654689812945766</v>
      </c>
      <c r="R419" t="str">
        <f>IF(Table1[[#This Row],[Profit Margin]]&gt;0,"profit","loss")</f>
        <v>profit</v>
      </c>
      <c r="S419" t="str">
        <f>IF(Table1[[#This Row],[Discount]]=0,"No Discount",IF(Table1[[#This Row],[Discount]]&lt;=0.2,"low",IF(Table1[[#This Row],[Discount]]&lt;=0.3,"medium","high")))</f>
        <v>No Discount</v>
      </c>
      <c r="T419" s="15" t="str">
        <f>IF(Table1[[#This Row],[Days]]&lt;=2,"faster",IF(Table1[[#This Row],[Days]]&lt;=4,"Normal","slow"))</f>
        <v>slow</v>
      </c>
    </row>
    <row r="420" spans="1:20" x14ac:dyDescent="0.25">
      <c r="A420" s="4" t="s">
        <v>453</v>
      </c>
      <c r="B420" s="1">
        <v>45204</v>
      </c>
      <c r="C420" s="1">
        <v>45208</v>
      </c>
      <c r="D420" s="13">
        <f>Table1[[#This Row],[Shipped date]]-Table1[[#This Row],[Order Date]]</f>
        <v>4</v>
      </c>
      <c r="E420" t="s">
        <v>28</v>
      </c>
      <c r="F420" s="13" t="str">
        <f>TEXT(Table1[[#This Row],[Order Date]],"MMMM")</f>
        <v>October</v>
      </c>
      <c r="G420" s="13">
        <f t="shared" si="12"/>
        <v>2023</v>
      </c>
      <c r="H420" s="13" t="str">
        <f t="shared" si="13"/>
        <v>Q4</v>
      </c>
      <c r="I420" s="1" t="s">
        <v>37</v>
      </c>
      <c r="J420" s="7" t="s">
        <v>15</v>
      </c>
      <c r="K420" s="7" t="s">
        <v>22</v>
      </c>
      <c r="L420" t="s">
        <v>23</v>
      </c>
      <c r="M420" s="9">
        <v>623.54999999999995</v>
      </c>
      <c r="N420" s="4">
        <v>2</v>
      </c>
      <c r="O420" s="12">
        <v>0.1</v>
      </c>
      <c r="P420" s="9">
        <v>9.23</v>
      </c>
      <c r="Q420" s="10">
        <f>Table1[[#This Row],[Profit]]/Table1[[#This Row],[Sales]]</f>
        <v>1.4802341432122525E-2</v>
      </c>
      <c r="R420" t="str">
        <f>IF(Table1[[#This Row],[Profit Margin]]&gt;0,"profit","loss")</f>
        <v>profit</v>
      </c>
      <c r="S420" t="str">
        <f>IF(Table1[[#This Row],[Discount]]=0,"No Discount",IF(Table1[[#This Row],[Discount]]&lt;=0.2,"low",IF(Table1[[#This Row],[Discount]]&lt;=0.3,"medium","high")))</f>
        <v>low</v>
      </c>
      <c r="T420" s="15" t="str">
        <f>IF(Table1[[#This Row],[Days]]&lt;=2,"faster",IF(Table1[[#This Row],[Days]]&lt;=4,"Normal","slow"))</f>
        <v>Normal</v>
      </c>
    </row>
    <row r="421" spans="1:20" x14ac:dyDescent="0.25">
      <c r="A421" s="4" t="s">
        <v>454</v>
      </c>
      <c r="B421" s="1">
        <v>45255</v>
      </c>
      <c r="C421" s="1">
        <v>45262</v>
      </c>
      <c r="D421" s="13">
        <f>Table1[[#This Row],[Shipped date]]-Table1[[#This Row],[Order Date]]</f>
        <v>7</v>
      </c>
      <c r="E421" t="s">
        <v>28</v>
      </c>
      <c r="F421" s="13" t="str">
        <f>TEXT(Table1[[#This Row],[Order Date]],"MMMM")</f>
        <v>November</v>
      </c>
      <c r="G421" s="13">
        <f t="shared" si="12"/>
        <v>2023</v>
      </c>
      <c r="H421" s="13" t="str">
        <f t="shared" si="13"/>
        <v>Q4</v>
      </c>
      <c r="I421" s="1" t="s">
        <v>20</v>
      </c>
      <c r="J421" s="7" t="s">
        <v>26</v>
      </c>
      <c r="K421" s="7" t="s">
        <v>29</v>
      </c>
      <c r="L421" t="s">
        <v>30</v>
      </c>
      <c r="M421" s="9">
        <v>472.7</v>
      </c>
      <c r="N421" s="4">
        <v>2</v>
      </c>
      <c r="O421" s="12">
        <v>0.1</v>
      </c>
      <c r="P421" s="9">
        <v>-18.510000000000002</v>
      </c>
      <c r="Q421" s="10">
        <f>Table1[[#This Row],[Profit]]/Table1[[#This Row],[Sales]]</f>
        <v>-3.9158028347789302E-2</v>
      </c>
      <c r="R421" t="str">
        <f>IF(Table1[[#This Row],[Profit Margin]]&gt;0,"profit","loss")</f>
        <v>loss</v>
      </c>
      <c r="S421" t="str">
        <f>IF(Table1[[#This Row],[Discount]]=0,"No Discount",IF(Table1[[#This Row],[Discount]]&lt;=0.2,"low",IF(Table1[[#This Row],[Discount]]&lt;=0.3,"medium","high")))</f>
        <v>low</v>
      </c>
      <c r="T421" s="15" t="str">
        <f>IF(Table1[[#This Row],[Days]]&lt;=2,"faster",IF(Table1[[#This Row],[Days]]&lt;=4,"Normal","slow"))</f>
        <v>slow</v>
      </c>
    </row>
    <row r="422" spans="1:20" x14ac:dyDescent="0.25">
      <c r="A422" s="4" t="s">
        <v>455</v>
      </c>
      <c r="B422" s="1">
        <v>45149</v>
      </c>
      <c r="C422" s="1">
        <v>45154</v>
      </c>
      <c r="D422" s="13">
        <f>Table1[[#This Row],[Shipped date]]-Table1[[#This Row],[Order Date]]</f>
        <v>5</v>
      </c>
      <c r="E422" t="s">
        <v>28</v>
      </c>
      <c r="F422" s="13" t="str">
        <f>TEXT(Table1[[#This Row],[Order Date]],"MMMM")</f>
        <v>August</v>
      </c>
      <c r="G422" s="13">
        <f t="shared" si="12"/>
        <v>2023</v>
      </c>
      <c r="H422" s="13" t="str">
        <f t="shared" si="13"/>
        <v>Q3</v>
      </c>
      <c r="I422" s="1" t="s">
        <v>37</v>
      </c>
      <c r="J422" s="7" t="s">
        <v>32</v>
      </c>
      <c r="K422" s="7" t="s">
        <v>22</v>
      </c>
      <c r="L422" t="s">
        <v>23</v>
      </c>
      <c r="M422" s="9">
        <v>877.21</v>
      </c>
      <c r="N422" s="4">
        <v>9</v>
      </c>
      <c r="O422" s="12">
        <v>0</v>
      </c>
      <c r="P422" s="9">
        <v>94.6</v>
      </c>
      <c r="Q422" s="10">
        <f>Table1[[#This Row],[Profit]]/Table1[[#This Row],[Sales]]</f>
        <v>0.10784190786698737</v>
      </c>
      <c r="R422" t="str">
        <f>IF(Table1[[#This Row],[Profit Margin]]&gt;0,"profit","loss")</f>
        <v>profit</v>
      </c>
      <c r="S422" t="str">
        <f>IF(Table1[[#This Row],[Discount]]=0,"No Discount",IF(Table1[[#This Row],[Discount]]&lt;=0.2,"low",IF(Table1[[#This Row],[Discount]]&lt;=0.3,"medium","high")))</f>
        <v>No Discount</v>
      </c>
      <c r="T422" s="15" t="str">
        <f>IF(Table1[[#This Row],[Days]]&lt;=2,"faster",IF(Table1[[#This Row],[Days]]&lt;=4,"Normal","slow"))</f>
        <v>slow</v>
      </c>
    </row>
    <row r="423" spans="1:20" x14ac:dyDescent="0.25">
      <c r="A423" s="4" t="s">
        <v>456</v>
      </c>
      <c r="B423" s="1">
        <v>45129</v>
      </c>
      <c r="C423" s="1">
        <v>45131</v>
      </c>
      <c r="D423" s="13">
        <f>Table1[[#This Row],[Shipped date]]-Table1[[#This Row],[Order Date]]</f>
        <v>2</v>
      </c>
      <c r="E423" t="s">
        <v>28</v>
      </c>
      <c r="F423" s="13" t="str">
        <f>TEXT(Table1[[#This Row],[Order Date]],"MMMM")</f>
        <v>July</v>
      </c>
      <c r="G423" s="13">
        <f t="shared" si="12"/>
        <v>2023</v>
      </c>
      <c r="H423" s="13" t="str">
        <f t="shared" si="13"/>
        <v>Q3</v>
      </c>
      <c r="I423" s="1" t="s">
        <v>14</v>
      </c>
      <c r="J423" s="7" t="s">
        <v>32</v>
      </c>
      <c r="K423" s="7" t="s">
        <v>16</v>
      </c>
      <c r="L423" t="s">
        <v>17</v>
      </c>
      <c r="M423" s="9">
        <v>933.94</v>
      </c>
      <c r="N423" s="4">
        <v>2</v>
      </c>
      <c r="O423" s="12">
        <v>0.2</v>
      </c>
      <c r="P423" s="9">
        <v>-43.54</v>
      </c>
      <c r="Q423" s="10">
        <f>Table1[[#This Row],[Profit]]/Table1[[#This Row],[Sales]]</f>
        <v>-4.661969719682206E-2</v>
      </c>
      <c r="R423" t="str">
        <f>IF(Table1[[#This Row],[Profit Margin]]&gt;0,"profit","loss")</f>
        <v>loss</v>
      </c>
      <c r="S423" t="str">
        <f>IF(Table1[[#This Row],[Discount]]=0,"No Discount",IF(Table1[[#This Row],[Discount]]&lt;=0.2,"low",IF(Table1[[#This Row],[Discount]]&lt;=0.3,"medium","high")))</f>
        <v>low</v>
      </c>
      <c r="T423" s="15" t="str">
        <f>IF(Table1[[#This Row],[Days]]&lt;=2,"faster",IF(Table1[[#This Row],[Days]]&lt;=4,"Normal","slow"))</f>
        <v>faster</v>
      </c>
    </row>
    <row r="424" spans="1:20" x14ac:dyDescent="0.25">
      <c r="A424" s="4" t="s">
        <v>457</v>
      </c>
      <c r="B424" s="1">
        <v>45224</v>
      </c>
      <c r="C424" s="1">
        <v>45225</v>
      </c>
      <c r="D424" s="13">
        <f>Table1[[#This Row],[Shipped date]]-Table1[[#This Row],[Order Date]]</f>
        <v>1</v>
      </c>
      <c r="E424" t="s">
        <v>19</v>
      </c>
      <c r="F424" s="13" t="str">
        <f>TEXT(Table1[[#This Row],[Order Date]],"MMMM")</f>
        <v>October</v>
      </c>
      <c r="G424" s="13">
        <f t="shared" si="12"/>
        <v>2023</v>
      </c>
      <c r="H424" s="13" t="str">
        <f t="shared" si="13"/>
        <v>Q4</v>
      </c>
      <c r="I424" s="1" t="s">
        <v>14</v>
      </c>
      <c r="J424" s="7" t="s">
        <v>21</v>
      </c>
      <c r="K424" s="7" t="s">
        <v>22</v>
      </c>
      <c r="L424" t="s">
        <v>23</v>
      </c>
      <c r="M424" s="9">
        <v>363.7</v>
      </c>
      <c r="N424" s="4">
        <v>4</v>
      </c>
      <c r="O424" s="12">
        <v>0.1</v>
      </c>
      <c r="P424" s="9">
        <v>-13.8</v>
      </c>
      <c r="Q424" s="10">
        <f>Table1[[#This Row],[Profit]]/Table1[[#This Row],[Sales]]</f>
        <v>-3.7943359912015404E-2</v>
      </c>
      <c r="R424" t="str">
        <f>IF(Table1[[#This Row],[Profit Margin]]&gt;0,"profit","loss")</f>
        <v>loss</v>
      </c>
      <c r="S424" t="str">
        <f>IF(Table1[[#This Row],[Discount]]=0,"No Discount",IF(Table1[[#This Row],[Discount]]&lt;=0.2,"low",IF(Table1[[#This Row],[Discount]]&lt;=0.3,"medium","high")))</f>
        <v>low</v>
      </c>
      <c r="T424" s="15" t="str">
        <f>IF(Table1[[#This Row],[Days]]&lt;=2,"faster",IF(Table1[[#This Row],[Days]]&lt;=4,"Normal","slow"))</f>
        <v>faster</v>
      </c>
    </row>
    <row r="425" spans="1:20" x14ac:dyDescent="0.25">
      <c r="A425" s="4" t="s">
        <v>458</v>
      </c>
      <c r="B425" s="1">
        <v>45182</v>
      </c>
      <c r="C425" s="1">
        <v>45187</v>
      </c>
      <c r="D425" s="13">
        <f>Table1[[#This Row],[Shipped date]]-Table1[[#This Row],[Order Date]]</f>
        <v>5</v>
      </c>
      <c r="E425" t="s">
        <v>25</v>
      </c>
      <c r="F425" s="13" t="str">
        <f>TEXT(Table1[[#This Row],[Order Date]],"MMMM")</f>
        <v>September</v>
      </c>
      <c r="G425" s="13">
        <f t="shared" si="12"/>
        <v>2023</v>
      </c>
      <c r="H425" s="13" t="str">
        <f t="shared" si="13"/>
        <v>Q3</v>
      </c>
      <c r="I425" s="1" t="s">
        <v>14</v>
      </c>
      <c r="J425" s="7" t="s">
        <v>21</v>
      </c>
      <c r="K425" s="7" t="s">
        <v>29</v>
      </c>
      <c r="L425" t="s">
        <v>43</v>
      </c>
      <c r="M425" s="9">
        <v>56.84</v>
      </c>
      <c r="N425" s="4">
        <v>6</v>
      </c>
      <c r="O425" s="12">
        <v>0.3</v>
      </c>
      <c r="P425" s="9">
        <v>12.56</v>
      </c>
      <c r="Q425" s="10">
        <f>Table1[[#This Row],[Profit]]/Table1[[#This Row],[Sales]]</f>
        <v>0.22097114707952145</v>
      </c>
      <c r="R425" t="str">
        <f>IF(Table1[[#This Row],[Profit Margin]]&gt;0,"profit","loss")</f>
        <v>profit</v>
      </c>
      <c r="S425" t="str">
        <f>IF(Table1[[#This Row],[Discount]]=0,"No Discount",IF(Table1[[#This Row],[Discount]]&lt;=0.2,"low",IF(Table1[[#This Row],[Discount]]&lt;=0.3,"medium","high")))</f>
        <v>medium</v>
      </c>
      <c r="T425" s="15" t="str">
        <f>IF(Table1[[#This Row],[Days]]&lt;=2,"faster",IF(Table1[[#This Row],[Days]]&lt;=4,"Normal","slow"))</f>
        <v>slow</v>
      </c>
    </row>
    <row r="426" spans="1:20" x14ac:dyDescent="0.25">
      <c r="A426" s="4" t="s">
        <v>459</v>
      </c>
      <c r="B426" s="1">
        <v>45066</v>
      </c>
      <c r="C426" s="1">
        <v>45068</v>
      </c>
      <c r="D426" s="13">
        <f>Table1[[#This Row],[Shipped date]]-Table1[[#This Row],[Order Date]]</f>
        <v>2</v>
      </c>
      <c r="E426" t="s">
        <v>19</v>
      </c>
      <c r="F426" s="13" t="str">
        <f>TEXT(Table1[[#This Row],[Order Date]],"MMMM")</f>
        <v>May</v>
      </c>
      <c r="G426" s="13">
        <f t="shared" si="12"/>
        <v>2023</v>
      </c>
      <c r="H426" s="13" t="str">
        <f t="shared" si="13"/>
        <v>Q2</v>
      </c>
      <c r="I426" s="1" t="s">
        <v>37</v>
      </c>
      <c r="J426" s="7" t="s">
        <v>15</v>
      </c>
      <c r="K426" s="7" t="s">
        <v>22</v>
      </c>
      <c r="L426" t="s">
        <v>23</v>
      </c>
      <c r="M426" s="9">
        <v>876.2</v>
      </c>
      <c r="N426" s="4">
        <v>10</v>
      </c>
      <c r="O426" s="12">
        <v>0.2</v>
      </c>
      <c r="P426" s="9">
        <v>-79.739999999999995</v>
      </c>
      <c r="Q426" s="10">
        <f>Table1[[#This Row],[Profit]]/Table1[[#This Row],[Sales]]</f>
        <v>-9.1006619493266369E-2</v>
      </c>
      <c r="R426" t="str">
        <f>IF(Table1[[#This Row],[Profit Margin]]&gt;0,"profit","loss")</f>
        <v>loss</v>
      </c>
      <c r="S426" t="str">
        <f>IF(Table1[[#This Row],[Discount]]=0,"No Discount",IF(Table1[[#This Row],[Discount]]&lt;=0.2,"low",IF(Table1[[#This Row],[Discount]]&lt;=0.3,"medium","high")))</f>
        <v>low</v>
      </c>
      <c r="T426" s="15" t="str">
        <f>IF(Table1[[#This Row],[Days]]&lt;=2,"faster",IF(Table1[[#This Row],[Days]]&lt;=4,"Normal","slow"))</f>
        <v>faster</v>
      </c>
    </row>
    <row r="427" spans="1:20" x14ac:dyDescent="0.25">
      <c r="A427" s="4" t="s">
        <v>460</v>
      </c>
      <c r="B427" s="1">
        <v>44984</v>
      </c>
      <c r="C427" s="1">
        <v>44991</v>
      </c>
      <c r="D427" s="13">
        <f>Table1[[#This Row],[Shipped date]]-Table1[[#This Row],[Order Date]]</f>
        <v>7</v>
      </c>
      <c r="E427" t="s">
        <v>28</v>
      </c>
      <c r="F427" s="13" t="str">
        <f>TEXT(Table1[[#This Row],[Order Date]],"MMMM")</f>
        <v>February</v>
      </c>
      <c r="G427" s="13">
        <f t="shared" si="12"/>
        <v>2023</v>
      </c>
      <c r="H427" s="13" t="str">
        <f t="shared" si="13"/>
        <v>Q1</v>
      </c>
      <c r="I427" s="1" t="s">
        <v>37</v>
      </c>
      <c r="J427" s="7" t="s">
        <v>15</v>
      </c>
      <c r="K427" s="7" t="s">
        <v>16</v>
      </c>
      <c r="L427" t="s">
        <v>17</v>
      </c>
      <c r="M427" s="9">
        <v>109.87</v>
      </c>
      <c r="N427" s="4">
        <v>3</v>
      </c>
      <c r="O427" s="12">
        <v>0.2</v>
      </c>
      <c r="P427" s="9">
        <v>-1.49</v>
      </c>
      <c r="Q427" s="10">
        <f>Table1[[#This Row],[Profit]]/Table1[[#This Row],[Sales]]</f>
        <v>-1.3561481751160462E-2</v>
      </c>
      <c r="R427" t="str">
        <f>IF(Table1[[#This Row],[Profit Margin]]&gt;0,"profit","loss")</f>
        <v>loss</v>
      </c>
      <c r="S427" t="str">
        <f>IF(Table1[[#This Row],[Discount]]=0,"No Discount",IF(Table1[[#This Row],[Discount]]&lt;=0.2,"low",IF(Table1[[#This Row],[Discount]]&lt;=0.3,"medium","high")))</f>
        <v>low</v>
      </c>
      <c r="T427" s="15" t="str">
        <f>IF(Table1[[#This Row],[Days]]&lt;=2,"faster",IF(Table1[[#This Row],[Days]]&lt;=4,"Normal","slow"))</f>
        <v>slow</v>
      </c>
    </row>
    <row r="428" spans="1:20" x14ac:dyDescent="0.25">
      <c r="A428" s="4" t="s">
        <v>461</v>
      </c>
      <c r="B428" s="1">
        <v>45008</v>
      </c>
      <c r="C428" s="1">
        <v>45015</v>
      </c>
      <c r="D428" s="13">
        <f>Table1[[#This Row],[Shipped date]]-Table1[[#This Row],[Order Date]]</f>
        <v>7</v>
      </c>
      <c r="E428" t="s">
        <v>19</v>
      </c>
      <c r="F428" s="13" t="str">
        <f>TEXT(Table1[[#This Row],[Order Date]],"MMMM")</f>
        <v>March</v>
      </c>
      <c r="G428" s="13">
        <f t="shared" si="12"/>
        <v>2023</v>
      </c>
      <c r="H428" s="13" t="str">
        <f t="shared" si="13"/>
        <v>Q1</v>
      </c>
      <c r="I428" s="1" t="s">
        <v>14</v>
      </c>
      <c r="J428" s="7" t="s">
        <v>26</v>
      </c>
      <c r="K428" s="7" t="s">
        <v>29</v>
      </c>
      <c r="L428" t="s">
        <v>43</v>
      </c>
      <c r="M428" s="9">
        <v>742.83</v>
      </c>
      <c r="N428" s="4">
        <v>3</v>
      </c>
      <c r="O428" s="12">
        <v>0.1</v>
      </c>
      <c r="P428" s="9">
        <v>-19.77</v>
      </c>
      <c r="Q428" s="10">
        <f>Table1[[#This Row],[Profit]]/Table1[[#This Row],[Sales]]</f>
        <v>-2.6614433988934209E-2</v>
      </c>
      <c r="R428" t="str">
        <f>IF(Table1[[#This Row],[Profit Margin]]&gt;0,"profit","loss")</f>
        <v>loss</v>
      </c>
      <c r="S428" t="str">
        <f>IF(Table1[[#This Row],[Discount]]=0,"No Discount",IF(Table1[[#This Row],[Discount]]&lt;=0.2,"low",IF(Table1[[#This Row],[Discount]]&lt;=0.3,"medium","high")))</f>
        <v>low</v>
      </c>
      <c r="T428" s="15" t="str">
        <f>IF(Table1[[#This Row],[Days]]&lt;=2,"faster",IF(Table1[[#This Row],[Days]]&lt;=4,"Normal","slow"))</f>
        <v>slow</v>
      </c>
    </row>
    <row r="429" spans="1:20" x14ac:dyDescent="0.25">
      <c r="A429" s="4" t="s">
        <v>462</v>
      </c>
      <c r="B429" s="1">
        <v>45213</v>
      </c>
      <c r="C429" s="1">
        <v>45218</v>
      </c>
      <c r="D429" s="13">
        <f>Table1[[#This Row],[Shipped date]]-Table1[[#This Row],[Order Date]]</f>
        <v>5</v>
      </c>
      <c r="E429" t="s">
        <v>19</v>
      </c>
      <c r="F429" s="13" t="str">
        <f>TEXT(Table1[[#This Row],[Order Date]],"MMMM")</f>
        <v>October</v>
      </c>
      <c r="G429" s="13">
        <f t="shared" si="12"/>
        <v>2023</v>
      </c>
      <c r="H429" s="13" t="str">
        <f t="shared" si="13"/>
        <v>Q4</v>
      </c>
      <c r="I429" s="1" t="s">
        <v>37</v>
      </c>
      <c r="J429" s="7" t="s">
        <v>15</v>
      </c>
      <c r="K429" s="7" t="s">
        <v>29</v>
      </c>
      <c r="L429" t="s">
        <v>30</v>
      </c>
      <c r="M429" s="9">
        <v>477.96</v>
      </c>
      <c r="N429" s="4">
        <v>10</v>
      </c>
      <c r="O429" s="12">
        <v>0.3</v>
      </c>
      <c r="P429" s="9">
        <v>-95.49</v>
      </c>
      <c r="Q429" s="10">
        <f>Table1[[#This Row],[Profit]]/Table1[[#This Row],[Sales]]</f>
        <v>-0.19978659302033644</v>
      </c>
      <c r="R429" t="str">
        <f>IF(Table1[[#This Row],[Profit Margin]]&gt;0,"profit","loss")</f>
        <v>loss</v>
      </c>
      <c r="S429" t="str">
        <f>IF(Table1[[#This Row],[Discount]]=0,"No Discount",IF(Table1[[#This Row],[Discount]]&lt;=0.2,"low",IF(Table1[[#This Row],[Discount]]&lt;=0.3,"medium","high")))</f>
        <v>medium</v>
      </c>
      <c r="T429" s="15" t="str">
        <f>IF(Table1[[#This Row],[Days]]&lt;=2,"faster",IF(Table1[[#This Row],[Days]]&lt;=4,"Normal","slow"))</f>
        <v>slow</v>
      </c>
    </row>
    <row r="430" spans="1:20" x14ac:dyDescent="0.25">
      <c r="A430" s="4" t="s">
        <v>463</v>
      </c>
      <c r="B430" s="1">
        <v>45034</v>
      </c>
      <c r="C430" s="1">
        <v>45040</v>
      </c>
      <c r="D430" s="13">
        <f>Table1[[#This Row],[Shipped date]]-Table1[[#This Row],[Order Date]]</f>
        <v>6</v>
      </c>
      <c r="E430" t="s">
        <v>13</v>
      </c>
      <c r="F430" s="13" t="str">
        <f>TEXT(Table1[[#This Row],[Order Date]],"MMMM")</f>
        <v>April</v>
      </c>
      <c r="G430" s="13">
        <f t="shared" si="12"/>
        <v>2023</v>
      </c>
      <c r="H430" s="13" t="str">
        <f t="shared" si="13"/>
        <v>Q2</v>
      </c>
      <c r="I430" s="1" t="s">
        <v>14</v>
      </c>
      <c r="J430" s="7" t="s">
        <v>21</v>
      </c>
      <c r="K430" s="7" t="s">
        <v>29</v>
      </c>
      <c r="L430" t="s">
        <v>43</v>
      </c>
      <c r="M430" s="9">
        <v>310.38</v>
      </c>
      <c r="N430" s="4">
        <v>7</v>
      </c>
      <c r="O430" s="12">
        <v>0.1</v>
      </c>
      <c r="P430" s="9">
        <v>21.24</v>
      </c>
      <c r="Q430" s="10">
        <f>Table1[[#This Row],[Profit]]/Table1[[#This Row],[Sales]]</f>
        <v>6.8432244345640825E-2</v>
      </c>
      <c r="R430" t="str">
        <f>IF(Table1[[#This Row],[Profit Margin]]&gt;0,"profit","loss")</f>
        <v>profit</v>
      </c>
      <c r="S430" t="str">
        <f>IF(Table1[[#This Row],[Discount]]=0,"No Discount",IF(Table1[[#This Row],[Discount]]&lt;=0.2,"low",IF(Table1[[#This Row],[Discount]]&lt;=0.3,"medium","high")))</f>
        <v>low</v>
      </c>
      <c r="T430" s="15" t="str">
        <f>IF(Table1[[#This Row],[Days]]&lt;=2,"faster",IF(Table1[[#This Row],[Days]]&lt;=4,"Normal","slow"))</f>
        <v>slow</v>
      </c>
    </row>
    <row r="431" spans="1:20" x14ac:dyDescent="0.25">
      <c r="A431" s="4" t="s">
        <v>464</v>
      </c>
      <c r="B431" s="1">
        <v>45084</v>
      </c>
      <c r="C431" s="1">
        <v>45087</v>
      </c>
      <c r="D431" s="13">
        <f>Table1[[#This Row],[Shipped date]]-Table1[[#This Row],[Order Date]]</f>
        <v>3</v>
      </c>
      <c r="E431" t="s">
        <v>19</v>
      </c>
      <c r="F431" s="13" t="str">
        <f>TEXT(Table1[[#This Row],[Order Date]],"MMMM")</f>
        <v>June</v>
      </c>
      <c r="G431" s="13">
        <f t="shared" si="12"/>
        <v>2023</v>
      </c>
      <c r="H431" s="13" t="str">
        <f t="shared" si="13"/>
        <v>Q2</v>
      </c>
      <c r="I431" s="1" t="s">
        <v>37</v>
      </c>
      <c r="J431" s="7" t="s">
        <v>21</v>
      </c>
      <c r="K431" s="7" t="s">
        <v>16</v>
      </c>
      <c r="L431" t="s">
        <v>17</v>
      </c>
      <c r="M431" s="9">
        <v>291.72000000000003</v>
      </c>
      <c r="N431" s="4">
        <v>1</v>
      </c>
      <c r="O431" s="12">
        <v>0</v>
      </c>
      <c r="P431" s="9">
        <v>78.31</v>
      </c>
      <c r="Q431" s="10">
        <f>Table1[[#This Row],[Profit]]/Table1[[#This Row],[Sales]]</f>
        <v>0.26844234197175371</v>
      </c>
      <c r="R431" t="str">
        <f>IF(Table1[[#This Row],[Profit Margin]]&gt;0,"profit","loss")</f>
        <v>profit</v>
      </c>
      <c r="S431" t="str">
        <f>IF(Table1[[#This Row],[Discount]]=0,"No Discount",IF(Table1[[#This Row],[Discount]]&lt;=0.2,"low",IF(Table1[[#This Row],[Discount]]&lt;=0.3,"medium","high")))</f>
        <v>No Discount</v>
      </c>
      <c r="T431" s="15" t="str">
        <f>IF(Table1[[#This Row],[Days]]&lt;=2,"faster",IF(Table1[[#This Row],[Days]]&lt;=4,"Normal","slow"))</f>
        <v>Normal</v>
      </c>
    </row>
    <row r="432" spans="1:20" x14ac:dyDescent="0.25">
      <c r="A432" s="4" t="s">
        <v>465</v>
      </c>
      <c r="B432" s="1">
        <v>45185</v>
      </c>
      <c r="C432" s="1">
        <v>45186</v>
      </c>
      <c r="D432" s="13">
        <f>Table1[[#This Row],[Shipped date]]-Table1[[#This Row],[Order Date]]</f>
        <v>1</v>
      </c>
      <c r="E432" t="s">
        <v>28</v>
      </c>
      <c r="F432" s="13" t="str">
        <f>TEXT(Table1[[#This Row],[Order Date]],"MMMM")</f>
        <v>September</v>
      </c>
      <c r="G432" s="13">
        <f t="shared" si="12"/>
        <v>2023</v>
      </c>
      <c r="H432" s="13" t="str">
        <f t="shared" si="13"/>
        <v>Q3</v>
      </c>
      <c r="I432" s="1" t="s">
        <v>20</v>
      </c>
      <c r="J432" s="7" t="s">
        <v>32</v>
      </c>
      <c r="K432" s="7" t="s">
        <v>22</v>
      </c>
      <c r="L432" t="s">
        <v>23</v>
      </c>
      <c r="M432" s="9">
        <v>439.22</v>
      </c>
      <c r="N432" s="4">
        <v>3</v>
      </c>
      <c r="O432" s="12">
        <v>0</v>
      </c>
      <c r="P432" s="9">
        <v>51.34</v>
      </c>
      <c r="Q432" s="10">
        <f>Table1[[#This Row],[Profit]]/Table1[[#This Row],[Sales]]</f>
        <v>0.11688903055416421</v>
      </c>
      <c r="R432" t="str">
        <f>IF(Table1[[#This Row],[Profit Margin]]&gt;0,"profit","loss")</f>
        <v>profit</v>
      </c>
      <c r="S432" t="str">
        <f>IF(Table1[[#This Row],[Discount]]=0,"No Discount",IF(Table1[[#This Row],[Discount]]&lt;=0.2,"low",IF(Table1[[#This Row],[Discount]]&lt;=0.3,"medium","high")))</f>
        <v>No Discount</v>
      </c>
      <c r="T432" s="15" t="str">
        <f>IF(Table1[[#This Row],[Days]]&lt;=2,"faster",IF(Table1[[#This Row],[Days]]&lt;=4,"Normal","slow"))</f>
        <v>faster</v>
      </c>
    </row>
    <row r="433" spans="1:20" x14ac:dyDescent="0.25">
      <c r="A433" s="4" t="s">
        <v>466</v>
      </c>
      <c r="B433" s="1">
        <v>44968</v>
      </c>
      <c r="C433" s="1">
        <v>44970</v>
      </c>
      <c r="D433" s="13">
        <f>Table1[[#This Row],[Shipped date]]-Table1[[#This Row],[Order Date]]</f>
        <v>2</v>
      </c>
      <c r="E433" t="s">
        <v>13</v>
      </c>
      <c r="F433" s="13" t="str">
        <f>TEXT(Table1[[#This Row],[Order Date]],"MMMM")</f>
        <v>February</v>
      </c>
      <c r="G433" s="13">
        <f t="shared" si="12"/>
        <v>2023</v>
      </c>
      <c r="H433" s="13" t="str">
        <f t="shared" si="13"/>
        <v>Q1</v>
      </c>
      <c r="I433" s="1" t="s">
        <v>37</v>
      </c>
      <c r="J433" s="7" t="s">
        <v>15</v>
      </c>
      <c r="K433" s="7" t="s">
        <v>22</v>
      </c>
      <c r="L433" t="s">
        <v>40</v>
      </c>
      <c r="M433" s="9">
        <v>141.94999999999999</v>
      </c>
      <c r="N433" s="4">
        <v>8</v>
      </c>
      <c r="O433" s="12">
        <v>0.2</v>
      </c>
      <c r="P433" s="9">
        <v>32.299999999999997</v>
      </c>
      <c r="Q433" s="10">
        <f>Table1[[#This Row],[Profit]]/Table1[[#This Row],[Sales]]</f>
        <v>0.22754491017964071</v>
      </c>
      <c r="R433" t="str">
        <f>IF(Table1[[#This Row],[Profit Margin]]&gt;0,"profit","loss")</f>
        <v>profit</v>
      </c>
      <c r="S433" t="str">
        <f>IF(Table1[[#This Row],[Discount]]=0,"No Discount",IF(Table1[[#This Row],[Discount]]&lt;=0.2,"low",IF(Table1[[#This Row],[Discount]]&lt;=0.3,"medium","high")))</f>
        <v>low</v>
      </c>
      <c r="T433" s="15" t="str">
        <f>IF(Table1[[#This Row],[Days]]&lt;=2,"faster",IF(Table1[[#This Row],[Days]]&lt;=4,"Normal","slow"))</f>
        <v>faster</v>
      </c>
    </row>
    <row r="434" spans="1:20" x14ac:dyDescent="0.25">
      <c r="A434" s="4" t="s">
        <v>467</v>
      </c>
      <c r="B434" s="1">
        <v>45216</v>
      </c>
      <c r="C434" s="1">
        <v>45219</v>
      </c>
      <c r="D434" s="13">
        <f>Table1[[#This Row],[Shipped date]]-Table1[[#This Row],[Order Date]]</f>
        <v>3</v>
      </c>
      <c r="E434" t="s">
        <v>25</v>
      </c>
      <c r="F434" s="13" t="str">
        <f>TEXT(Table1[[#This Row],[Order Date]],"MMMM")</f>
        <v>October</v>
      </c>
      <c r="G434" s="13">
        <f t="shared" si="12"/>
        <v>2023</v>
      </c>
      <c r="H434" s="13" t="str">
        <f t="shared" si="13"/>
        <v>Q4</v>
      </c>
      <c r="I434" s="1" t="s">
        <v>14</v>
      </c>
      <c r="J434" s="7" t="s">
        <v>21</v>
      </c>
      <c r="K434" s="7" t="s">
        <v>22</v>
      </c>
      <c r="L434" t="s">
        <v>35</v>
      </c>
      <c r="M434" s="9">
        <v>790.62</v>
      </c>
      <c r="N434" s="4">
        <v>10</v>
      </c>
      <c r="O434" s="12">
        <v>0.2</v>
      </c>
      <c r="P434" s="9">
        <v>-57.86</v>
      </c>
      <c r="Q434" s="10">
        <f>Table1[[#This Row],[Profit]]/Table1[[#This Row],[Sales]]</f>
        <v>-7.3183071513495734E-2</v>
      </c>
      <c r="R434" t="str">
        <f>IF(Table1[[#This Row],[Profit Margin]]&gt;0,"profit","loss")</f>
        <v>loss</v>
      </c>
      <c r="S434" t="str">
        <f>IF(Table1[[#This Row],[Discount]]=0,"No Discount",IF(Table1[[#This Row],[Discount]]&lt;=0.2,"low",IF(Table1[[#This Row],[Discount]]&lt;=0.3,"medium","high")))</f>
        <v>low</v>
      </c>
      <c r="T434" s="15" t="str">
        <f>IF(Table1[[#This Row],[Days]]&lt;=2,"faster",IF(Table1[[#This Row],[Days]]&lt;=4,"Normal","slow"))</f>
        <v>Normal</v>
      </c>
    </row>
    <row r="435" spans="1:20" x14ac:dyDescent="0.25">
      <c r="A435" s="4" t="s">
        <v>468</v>
      </c>
      <c r="B435" s="1">
        <v>44953</v>
      </c>
      <c r="C435" s="1">
        <v>44955</v>
      </c>
      <c r="D435" s="13">
        <f>Table1[[#This Row],[Shipped date]]-Table1[[#This Row],[Order Date]]</f>
        <v>2</v>
      </c>
      <c r="E435" t="s">
        <v>25</v>
      </c>
      <c r="F435" s="13" t="str">
        <f>TEXT(Table1[[#This Row],[Order Date]],"MMMM")</f>
        <v>January</v>
      </c>
      <c r="G435" s="13">
        <f t="shared" si="12"/>
        <v>2023</v>
      </c>
      <c r="H435" s="13" t="str">
        <f t="shared" si="13"/>
        <v>Q1</v>
      </c>
      <c r="I435" s="1" t="s">
        <v>20</v>
      </c>
      <c r="J435" s="7" t="s">
        <v>32</v>
      </c>
      <c r="K435" s="7" t="s">
        <v>22</v>
      </c>
      <c r="L435" t="s">
        <v>40</v>
      </c>
      <c r="M435" s="9">
        <v>982.68</v>
      </c>
      <c r="N435" s="4">
        <v>5</v>
      </c>
      <c r="O435" s="12">
        <v>0.2</v>
      </c>
      <c r="P435" s="9">
        <v>-52.14</v>
      </c>
      <c r="Q435" s="10">
        <f>Table1[[#This Row],[Profit]]/Table1[[#This Row],[Sales]]</f>
        <v>-5.3058981560630117E-2</v>
      </c>
      <c r="R435" t="str">
        <f>IF(Table1[[#This Row],[Profit Margin]]&gt;0,"profit","loss")</f>
        <v>loss</v>
      </c>
      <c r="S435" t="str">
        <f>IF(Table1[[#This Row],[Discount]]=0,"No Discount",IF(Table1[[#This Row],[Discount]]&lt;=0.2,"low",IF(Table1[[#This Row],[Discount]]&lt;=0.3,"medium","high")))</f>
        <v>low</v>
      </c>
      <c r="T435" s="15" t="str">
        <f>IF(Table1[[#This Row],[Days]]&lt;=2,"faster",IF(Table1[[#This Row],[Days]]&lt;=4,"Normal","slow"))</f>
        <v>faster</v>
      </c>
    </row>
    <row r="436" spans="1:20" x14ac:dyDescent="0.25">
      <c r="A436" s="4" t="s">
        <v>469</v>
      </c>
      <c r="B436" s="1">
        <v>45026</v>
      </c>
      <c r="C436" s="1">
        <v>45029</v>
      </c>
      <c r="D436" s="13">
        <f>Table1[[#This Row],[Shipped date]]-Table1[[#This Row],[Order Date]]</f>
        <v>3</v>
      </c>
      <c r="E436" t="s">
        <v>13</v>
      </c>
      <c r="F436" s="13" t="str">
        <f>TEXT(Table1[[#This Row],[Order Date]],"MMMM")</f>
        <v>April</v>
      </c>
      <c r="G436" s="13">
        <f t="shared" si="12"/>
        <v>2023</v>
      </c>
      <c r="H436" s="13" t="str">
        <f t="shared" si="13"/>
        <v>Q2</v>
      </c>
      <c r="I436" s="1" t="s">
        <v>14</v>
      </c>
      <c r="J436" s="7" t="s">
        <v>15</v>
      </c>
      <c r="K436" s="7" t="s">
        <v>16</v>
      </c>
      <c r="L436" t="s">
        <v>17</v>
      </c>
      <c r="M436" s="9">
        <v>478.05</v>
      </c>
      <c r="N436" s="4">
        <v>1</v>
      </c>
      <c r="O436" s="12">
        <v>0</v>
      </c>
      <c r="P436" s="9">
        <v>97.05</v>
      </c>
      <c r="Q436" s="10">
        <f>Table1[[#This Row],[Profit]]/Table1[[#This Row],[Sales]]</f>
        <v>0.20301223721368056</v>
      </c>
      <c r="R436" t="str">
        <f>IF(Table1[[#This Row],[Profit Margin]]&gt;0,"profit","loss")</f>
        <v>profit</v>
      </c>
      <c r="S436" t="str">
        <f>IF(Table1[[#This Row],[Discount]]=0,"No Discount",IF(Table1[[#This Row],[Discount]]&lt;=0.2,"low",IF(Table1[[#This Row],[Discount]]&lt;=0.3,"medium","high")))</f>
        <v>No Discount</v>
      </c>
      <c r="T436" s="15" t="str">
        <f>IF(Table1[[#This Row],[Days]]&lt;=2,"faster",IF(Table1[[#This Row],[Days]]&lt;=4,"Normal","slow"))</f>
        <v>Normal</v>
      </c>
    </row>
    <row r="437" spans="1:20" x14ac:dyDescent="0.25">
      <c r="A437" s="4" t="s">
        <v>470</v>
      </c>
      <c r="B437" s="1">
        <v>45024</v>
      </c>
      <c r="C437" s="1">
        <v>45030</v>
      </c>
      <c r="D437" s="13">
        <f>Table1[[#This Row],[Shipped date]]-Table1[[#This Row],[Order Date]]</f>
        <v>6</v>
      </c>
      <c r="E437" t="s">
        <v>28</v>
      </c>
      <c r="F437" s="13" t="str">
        <f>TEXT(Table1[[#This Row],[Order Date]],"MMMM")</f>
        <v>April</v>
      </c>
      <c r="G437" s="13">
        <f t="shared" si="12"/>
        <v>2023</v>
      </c>
      <c r="H437" s="13" t="str">
        <f t="shared" si="13"/>
        <v>Q2</v>
      </c>
      <c r="I437" s="1" t="s">
        <v>20</v>
      </c>
      <c r="J437" s="7" t="s">
        <v>15</v>
      </c>
      <c r="K437" s="7" t="s">
        <v>16</v>
      </c>
      <c r="L437" t="s">
        <v>17</v>
      </c>
      <c r="M437" s="9">
        <v>748.49</v>
      </c>
      <c r="N437" s="4">
        <v>10</v>
      </c>
      <c r="O437" s="12">
        <v>0.3</v>
      </c>
      <c r="P437" s="9">
        <v>-153.47999999999999</v>
      </c>
      <c r="Q437" s="10">
        <f>Table1[[#This Row],[Profit]]/Table1[[#This Row],[Sales]]</f>
        <v>-0.20505283971729749</v>
      </c>
      <c r="R437" t="str">
        <f>IF(Table1[[#This Row],[Profit Margin]]&gt;0,"profit","loss")</f>
        <v>loss</v>
      </c>
      <c r="S437" t="str">
        <f>IF(Table1[[#This Row],[Discount]]=0,"No Discount",IF(Table1[[#This Row],[Discount]]&lt;=0.2,"low",IF(Table1[[#This Row],[Discount]]&lt;=0.3,"medium","high")))</f>
        <v>medium</v>
      </c>
      <c r="T437" s="15" t="str">
        <f>IF(Table1[[#This Row],[Days]]&lt;=2,"faster",IF(Table1[[#This Row],[Days]]&lt;=4,"Normal","slow"))</f>
        <v>slow</v>
      </c>
    </row>
    <row r="438" spans="1:20" x14ac:dyDescent="0.25">
      <c r="A438" s="4" t="s">
        <v>471</v>
      </c>
      <c r="B438" s="1">
        <v>45155</v>
      </c>
      <c r="C438" s="1">
        <v>45159</v>
      </c>
      <c r="D438" s="13">
        <f>Table1[[#This Row],[Shipped date]]-Table1[[#This Row],[Order Date]]</f>
        <v>4</v>
      </c>
      <c r="E438" t="s">
        <v>19</v>
      </c>
      <c r="F438" s="13" t="str">
        <f>TEXT(Table1[[#This Row],[Order Date]],"MMMM")</f>
        <v>August</v>
      </c>
      <c r="G438" s="13">
        <f t="shared" si="12"/>
        <v>2023</v>
      </c>
      <c r="H438" s="13" t="str">
        <f t="shared" si="13"/>
        <v>Q3</v>
      </c>
      <c r="I438" s="1" t="s">
        <v>20</v>
      </c>
      <c r="J438" s="7" t="s">
        <v>21</v>
      </c>
      <c r="K438" s="7" t="s">
        <v>29</v>
      </c>
      <c r="L438" t="s">
        <v>45</v>
      </c>
      <c r="M438" s="9">
        <v>943.88</v>
      </c>
      <c r="N438" s="4">
        <v>4</v>
      </c>
      <c r="O438" s="12">
        <v>0.2</v>
      </c>
      <c r="P438" s="9">
        <v>-98.25</v>
      </c>
      <c r="Q438" s="10">
        <f>Table1[[#This Row],[Profit]]/Table1[[#This Row],[Sales]]</f>
        <v>-0.10409162181633258</v>
      </c>
      <c r="R438" t="str">
        <f>IF(Table1[[#This Row],[Profit Margin]]&gt;0,"profit","loss")</f>
        <v>loss</v>
      </c>
      <c r="S438" t="str">
        <f>IF(Table1[[#This Row],[Discount]]=0,"No Discount",IF(Table1[[#This Row],[Discount]]&lt;=0.2,"low",IF(Table1[[#This Row],[Discount]]&lt;=0.3,"medium","high")))</f>
        <v>low</v>
      </c>
      <c r="T438" s="15" t="str">
        <f>IF(Table1[[#This Row],[Days]]&lt;=2,"faster",IF(Table1[[#This Row],[Days]]&lt;=4,"Normal","slow"))</f>
        <v>Normal</v>
      </c>
    </row>
    <row r="439" spans="1:20" x14ac:dyDescent="0.25">
      <c r="A439" s="4" t="s">
        <v>472</v>
      </c>
      <c r="B439" s="1">
        <v>44980</v>
      </c>
      <c r="C439" s="1">
        <v>44981</v>
      </c>
      <c r="D439" s="13">
        <f>Table1[[#This Row],[Shipped date]]-Table1[[#This Row],[Order Date]]</f>
        <v>1</v>
      </c>
      <c r="E439" t="s">
        <v>28</v>
      </c>
      <c r="F439" s="13" t="str">
        <f>TEXT(Table1[[#This Row],[Order Date]],"MMMM")</f>
        <v>February</v>
      </c>
      <c r="G439" s="13">
        <f t="shared" si="12"/>
        <v>2023</v>
      </c>
      <c r="H439" s="13" t="str">
        <f t="shared" si="13"/>
        <v>Q1</v>
      </c>
      <c r="I439" s="1" t="s">
        <v>37</v>
      </c>
      <c r="J439" s="7" t="s">
        <v>15</v>
      </c>
      <c r="K439" s="7" t="s">
        <v>29</v>
      </c>
      <c r="L439" t="s">
        <v>43</v>
      </c>
      <c r="M439" s="9">
        <v>834.03</v>
      </c>
      <c r="N439" s="4">
        <v>4</v>
      </c>
      <c r="O439" s="12">
        <v>0.1</v>
      </c>
      <c r="P439" s="9">
        <v>-3.85</v>
      </c>
      <c r="Q439" s="10">
        <f>Table1[[#This Row],[Profit]]/Table1[[#This Row],[Sales]]</f>
        <v>-4.6161409062024147E-3</v>
      </c>
      <c r="R439" t="str">
        <f>IF(Table1[[#This Row],[Profit Margin]]&gt;0,"profit","loss")</f>
        <v>loss</v>
      </c>
      <c r="S439" t="str">
        <f>IF(Table1[[#This Row],[Discount]]=0,"No Discount",IF(Table1[[#This Row],[Discount]]&lt;=0.2,"low",IF(Table1[[#This Row],[Discount]]&lt;=0.3,"medium","high")))</f>
        <v>low</v>
      </c>
      <c r="T439" s="15" t="str">
        <f>IF(Table1[[#This Row],[Days]]&lt;=2,"faster",IF(Table1[[#This Row],[Days]]&lt;=4,"Normal","slow"))</f>
        <v>faster</v>
      </c>
    </row>
    <row r="440" spans="1:20" x14ac:dyDescent="0.25">
      <c r="A440" s="4" t="s">
        <v>473</v>
      </c>
      <c r="B440" s="1">
        <v>44974</v>
      </c>
      <c r="C440" s="1">
        <v>44976</v>
      </c>
      <c r="D440" s="13">
        <f>Table1[[#This Row],[Shipped date]]-Table1[[#This Row],[Order Date]]</f>
        <v>2</v>
      </c>
      <c r="E440" t="s">
        <v>25</v>
      </c>
      <c r="F440" s="13" t="str">
        <f>TEXT(Table1[[#This Row],[Order Date]],"MMMM")</f>
        <v>February</v>
      </c>
      <c r="G440" s="13">
        <f t="shared" si="12"/>
        <v>2023</v>
      </c>
      <c r="H440" s="13" t="str">
        <f t="shared" si="13"/>
        <v>Q1</v>
      </c>
      <c r="I440" s="1" t="s">
        <v>20</v>
      </c>
      <c r="J440" s="7" t="s">
        <v>26</v>
      </c>
      <c r="K440" s="7" t="s">
        <v>16</v>
      </c>
      <c r="L440" t="s">
        <v>33</v>
      </c>
      <c r="M440" s="9">
        <v>193</v>
      </c>
      <c r="N440" s="4">
        <v>7</v>
      </c>
      <c r="O440" s="12">
        <v>0.1</v>
      </c>
      <c r="P440" s="9">
        <v>-17.43</v>
      </c>
      <c r="Q440" s="10">
        <f>Table1[[#This Row],[Profit]]/Table1[[#This Row],[Sales]]</f>
        <v>-9.0310880829015547E-2</v>
      </c>
      <c r="R440" t="str">
        <f>IF(Table1[[#This Row],[Profit Margin]]&gt;0,"profit","loss")</f>
        <v>loss</v>
      </c>
      <c r="S440" t="str">
        <f>IF(Table1[[#This Row],[Discount]]=0,"No Discount",IF(Table1[[#This Row],[Discount]]&lt;=0.2,"low",IF(Table1[[#This Row],[Discount]]&lt;=0.3,"medium","high")))</f>
        <v>low</v>
      </c>
      <c r="T440" s="15" t="str">
        <f>IF(Table1[[#This Row],[Days]]&lt;=2,"faster",IF(Table1[[#This Row],[Days]]&lt;=4,"Normal","slow"))</f>
        <v>faster</v>
      </c>
    </row>
    <row r="441" spans="1:20" x14ac:dyDescent="0.25">
      <c r="A441" s="4" t="s">
        <v>474</v>
      </c>
      <c r="B441" s="1">
        <v>45134</v>
      </c>
      <c r="C441" s="1">
        <v>45138</v>
      </c>
      <c r="D441" s="13">
        <f>Table1[[#This Row],[Shipped date]]-Table1[[#This Row],[Order Date]]</f>
        <v>4</v>
      </c>
      <c r="E441" t="s">
        <v>28</v>
      </c>
      <c r="F441" s="13" t="str">
        <f>TEXT(Table1[[#This Row],[Order Date]],"MMMM")</f>
        <v>July</v>
      </c>
      <c r="G441" s="13">
        <f t="shared" si="12"/>
        <v>2023</v>
      </c>
      <c r="H441" s="13" t="str">
        <f t="shared" si="13"/>
        <v>Q3</v>
      </c>
      <c r="I441" s="1" t="s">
        <v>37</v>
      </c>
      <c r="J441" s="7" t="s">
        <v>32</v>
      </c>
      <c r="K441" s="7" t="s">
        <v>29</v>
      </c>
      <c r="L441" t="s">
        <v>30</v>
      </c>
      <c r="M441" s="9">
        <v>958.12</v>
      </c>
      <c r="N441" s="4">
        <v>10</v>
      </c>
      <c r="O441" s="12">
        <v>0.3</v>
      </c>
      <c r="P441" s="9">
        <v>-187.12</v>
      </c>
      <c r="Q441" s="10">
        <f>Table1[[#This Row],[Profit]]/Table1[[#This Row],[Sales]]</f>
        <v>-0.19529912745793845</v>
      </c>
      <c r="R441" t="str">
        <f>IF(Table1[[#This Row],[Profit Margin]]&gt;0,"profit","loss")</f>
        <v>loss</v>
      </c>
      <c r="S441" t="str">
        <f>IF(Table1[[#This Row],[Discount]]=0,"No Discount",IF(Table1[[#This Row],[Discount]]&lt;=0.2,"low",IF(Table1[[#This Row],[Discount]]&lt;=0.3,"medium","high")))</f>
        <v>medium</v>
      </c>
      <c r="T441" s="15" t="str">
        <f>IF(Table1[[#This Row],[Days]]&lt;=2,"faster",IF(Table1[[#This Row],[Days]]&lt;=4,"Normal","slow"))</f>
        <v>Normal</v>
      </c>
    </row>
    <row r="442" spans="1:20" x14ac:dyDescent="0.25">
      <c r="A442" s="4" t="s">
        <v>475</v>
      </c>
      <c r="B442" s="1">
        <v>45059</v>
      </c>
      <c r="C442" s="1">
        <v>45065</v>
      </c>
      <c r="D442" s="13">
        <f>Table1[[#This Row],[Shipped date]]-Table1[[#This Row],[Order Date]]</f>
        <v>6</v>
      </c>
      <c r="E442" t="s">
        <v>25</v>
      </c>
      <c r="F442" s="13" t="str">
        <f>TEXT(Table1[[#This Row],[Order Date]],"MMMM")</f>
        <v>May</v>
      </c>
      <c r="G442" s="13">
        <f t="shared" si="12"/>
        <v>2023</v>
      </c>
      <c r="H442" s="13" t="str">
        <f t="shared" si="13"/>
        <v>Q2</v>
      </c>
      <c r="I442" s="1" t="s">
        <v>14</v>
      </c>
      <c r="J442" s="7" t="s">
        <v>26</v>
      </c>
      <c r="K442" s="7" t="s">
        <v>29</v>
      </c>
      <c r="L442" t="s">
        <v>43</v>
      </c>
      <c r="M442" s="9">
        <v>76.69</v>
      </c>
      <c r="N442" s="4">
        <v>7</v>
      </c>
      <c r="O442" s="12">
        <v>0.2</v>
      </c>
      <c r="P442" s="9">
        <v>-12.53</v>
      </c>
      <c r="Q442" s="10">
        <f>Table1[[#This Row],[Profit]]/Table1[[#This Row],[Sales]]</f>
        <v>-0.16338505672186726</v>
      </c>
      <c r="R442" t="str">
        <f>IF(Table1[[#This Row],[Profit Margin]]&gt;0,"profit","loss")</f>
        <v>loss</v>
      </c>
      <c r="S442" t="str">
        <f>IF(Table1[[#This Row],[Discount]]=0,"No Discount",IF(Table1[[#This Row],[Discount]]&lt;=0.2,"low",IF(Table1[[#This Row],[Discount]]&lt;=0.3,"medium","high")))</f>
        <v>low</v>
      </c>
      <c r="T442" s="15" t="str">
        <f>IF(Table1[[#This Row],[Days]]&lt;=2,"faster",IF(Table1[[#This Row],[Days]]&lt;=4,"Normal","slow"))</f>
        <v>slow</v>
      </c>
    </row>
    <row r="443" spans="1:20" x14ac:dyDescent="0.25">
      <c r="A443" s="4" t="s">
        <v>476</v>
      </c>
      <c r="B443" s="1">
        <v>45226</v>
      </c>
      <c r="C443" s="1">
        <v>45231</v>
      </c>
      <c r="D443" s="13">
        <f>Table1[[#This Row],[Shipped date]]-Table1[[#This Row],[Order Date]]</f>
        <v>5</v>
      </c>
      <c r="E443" t="s">
        <v>25</v>
      </c>
      <c r="F443" s="13" t="str">
        <f>TEXT(Table1[[#This Row],[Order Date]],"MMMM")</f>
        <v>October</v>
      </c>
      <c r="G443" s="13">
        <f t="shared" si="12"/>
        <v>2023</v>
      </c>
      <c r="H443" s="13" t="str">
        <f t="shared" si="13"/>
        <v>Q4</v>
      </c>
      <c r="I443" s="1" t="s">
        <v>14</v>
      </c>
      <c r="J443" s="7" t="s">
        <v>32</v>
      </c>
      <c r="K443" s="7" t="s">
        <v>29</v>
      </c>
      <c r="L443" t="s">
        <v>30</v>
      </c>
      <c r="M443" s="9">
        <v>527.9</v>
      </c>
      <c r="N443" s="4">
        <v>10</v>
      </c>
      <c r="O443" s="12">
        <v>0.3</v>
      </c>
      <c r="P443" s="9">
        <v>-55.94</v>
      </c>
      <c r="Q443" s="10">
        <f>Table1[[#This Row],[Profit]]/Table1[[#This Row],[Sales]]</f>
        <v>-0.10596703921197197</v>
      </c>
      <c r="R443" t="str">
        <f>IF(Table1[[#This Row],[Profit Margin]]&gt;0,"profit","loss")</f>
        <v>loss</v>
      </c>
      <c r="S443" t="str">
        <f>IF(Table1[[#This Row],[Discount]]=0,"No Discount",IF(Table1[[#This Row],[Discount]]&lt;=0.2,"low",IF(Table1[[#This Row],[Discount]]&lt;=0.3,"medium","high")))</f>
        <v>medium</v>
      </c>
      <c r="T443" s="15" t="str">
        <f>IF(Table1[[#This Row],[Days]]&lt;=2,"faster",IF(Table1[[#This Row],[Days]]&lt;=4,"Normal","slow"))</f>
        <v>slow</v>
      </c>
    </row>
    <row r="444" spans="1:20" x14ac:dyDescent="0.25">
      <c r="A444" s="4" t="s">
        <v>477</v>
      </c>
      <c r="B444" s="1">
        <v>45189</v>
      </c>
      <c r="C444" s="1">
        <v>45193</v>
      </c>
      <c r="D444" s="13">
        <f>Table1[[#This Row],[Shipped date]]-Table1[[#This Row],[Order Date]]</f>
        <v>4</v>
      </c>
      <c r="E444" t="s">
        <v>19</v>
      </c>
      <c r="F444" s="13" t="str">
        <f>TEXT(Table1[[#This Row],[Order Date]],"MMMM")</f>
        <v>September</v>
      </c>
      <c r="G444" s="13">
        <f t="shared" si="12"/>
        <v>2023</v>
      </c>
      <c r="H444" s="13" t="str">
        <f t="shared" si="13"/>
        <v>Q3</v>
      </c>
      <c r="I444" s="1" t="s">
        <v>14</v>
      </c>
      <c r="J444" s="7" t="s">
        <v>32</v>
      </c>
      <c r="K444" s="7" t="s">
        <v>22</v>
      </c>
      <c r="L444" t="s">
        <v>40</v>
      </c>
      <c r="M444" s="9">
        <v>190.42</v>
      </c>
      <c r="N444" s="4">
        <v>6</v>
      </c>
      <c r="O444" s="12">
        <v>0.1</v>
      </c>
      <c r="P444" s="9">
        <v>16.07</v>
      </c>
      <c r="Q444" s="10">
        <f>Table1[[#This Row],[Profit]]/Table1[[#This Row],[Sales]]</f>
        <v>8.4392395756748242E-2</v>
      </c>
      <c r="R444" t="str">
        <f>IF(Table1[[#This Row],[Profit Margin]]&gt;0,"profit","loss")</f>
        <v>profit</v>
      </c>
      <c r="S444" t="str">
        <f>IF(Table1[[#This Row],[Discount]]=0,"No Discount",IF(Table1[[#This Row],[Discount]]&lt;=0.2,"low",IF(Table1[[#This Row],[Discount]]&lt;=0.3,"medium","high")))</f>
        <v>low</v>
      </c>
      <c r="T444" s="15" t="str">
        <f>IF(Table1[[#This Row],[Days]]&lt;=2,"faster",IF(Table1[[#This Row],[Days]]&lt;=4,"Normal","slow"))</f>
        <v>Normal</v>
      </c>
    </row>
    <row r="445" spans="1:20" x14ac:dyDescent="0.25">
      <c r="A445" s="4" t="s">
        <v>478</v>
      </c>
      <c r="B445" s="1">
        <v>45017</v>
      </c>
      <c r="C445" s="1">
        <v>45024</v>
      </c>
      <c r="D445" s="13">
        <f>Table1[[#This Row],[Shipped date]]-Table1[[#This Row],[Order Date]]</f>
        <v>7</v>
      </c>
      <c r="E445" t="s">
        <v>19</v>
      </c>
      <c r="F445" s="13" t="str">
        <f>TEXT(Table1[[#This Row],[Order Date]],"MMMM")</f>
        <v>April</v>
      </c>
      <c r="G445" s="13">
        <f t="shared" si="12"/>
        <v>2023</v>
      </c>
      <c r="H445" s="13" t="str">
        <f t="shared" si="13"/>
        <v>Q2</v>
      </c>
      <c r="I445" s="1" t="s">
        <v>37</v>
      </c>
      <c r="J445" s="7" t="s">
        <v>21</v>
      </c>
      <c r="K445" s="7" t="s">
        <v>29</v>
      </c>
      <c r="L445" t="s">
        <v>30</v>
      </c>
      <c r="M445" s="9">
        <v>501.36</v>
      </c>
      <c r="N445" s="4">
        <v>7</v>
      </c>
      <c r="O445" s="12">
        <v>0</v>
      </c>
      <c r="P445" s="9">
        <v>40.909999999999997</v>
      </c>
      <c r="Q445" s="10">
        <f>Table1[[#This Row],[Profit]]/Table1[[#This Row],[Sales]]</f>
        <v>8.1598053295037484E-2</v>
      </c>
      <c r="R445" t="str">
        <f>IF(Table1[[#This Row],[Profit Margin]]&gt;0,"profit","loss")</f>
        <v>profit</v>
      </c>
      <c r="S445" t="str">
        <f>IF(Table1[[#This Row],[Discount]]=0,"No Discount",IF(Table1[[#This Row],[Discount]]&lt;=0.2,"low",IF(Table1[[#This Row],[Discount]]&lt;=0.3,"medium","high")))</f>
        <v>No Discount</v>
      </c>
      <c r="T445" s="15" t="str">
        <f>IF(Table1[[#This Row],[Days]]&lt;=2,"faster",IF(Table1[[#This Row],[Days]]&lt;=4,"Normal","slow"))</f>
        <v>slow</v>
      </c>
    </row>
    <row r="446" spans="1:20" x14ac:dyDescent="0.25">
      <c r="A446" s="4" t="s">
        <v>479</v>
      </c>
      <c r="B446" s="1">
        <v>45085</v>
      </c>
      <c r="C446" s="1">
        <v>45087</v>
      </c>
      <c r="D446" s="13">
        <f>Table1[[#This Row],[Shipped date]]-Table1[[#This Row],[Order Date]]</f>
        <v>2</v>
      </c>
      <c r="E446" t="s">
        <v>13</v>
      </c>
      <c r="F446" s="13" t="str">
        <f>TEXT(Table1[[#This Row],[Order Date]],"MMMM")</f>
        <v>June</v>
      </c>
      <c r="G446" s="13">
        <f t="shared" si="12"/>
        <v>2023</v>
      </c>
      <c r="H446" s="13" t="str">
        <f t="shared" si="13"/>
        <v>Q2</v>
      </c>
      <c r="I446" s="1" t="s">
        <v>14</v>
      </c>
      <c r="J446" s="7" t="s">
        <v>21</v>
      </c>
      <c r="K446" s="7" t="s">
        <v>16</v>
      </c>
      <c r="L446" t="s">
        <v>38</v>
      </c>
      <c r="M446" s="9">
        <v>819.52</v>
      </c>
      <c r="N446" s="4">
        <v>7</v>
      </c>
      <c r="O446" s="12">
        <v>0.1</v>
      </c>
      <c r="P446" s="9">
        <v>23.61</v>
      </c>
      <c r="Q446" s="10">
        <f>Table1[[#This Row],[Profit]]/Table1[[#This Row],[Sales]]</f>
        <v>2.8809547051932838E-2</v>
      </c>
      <c r="R446" t="str">
        <f>IF(Table1[[#This Row],[Profit Margin]]&gt;0,"profit","loss")</f>
        <v>profit</v>
      </c>
      <c r="S446" t="str">
        <f>IF(Table1[[#This Row],[Discount]]=0,"No Discount",IF(Table1[[#This Row],[Discount]]&lt;=0.2,"low",IF(Table1[[#This Row],[Discount]]&lt;=0.3,"medium","high")))</f>
        <v>low</v>
      </c>
      <c r="T446" s="15" t="str">
        <f>IF(Table1[[#This Row],[Days]]&lt;=2,"faster",IF(Table1[[#This Row],[Days]]&lt;=4,"Normal","slow"))</f>
        <v>faster</v>
      </c>
    </row>
    <row r="447" spans="1:20" x14ac:dyDescent="0.25">
      <c r="A447" s="4" t="s">
        <v>480</v>
      </c>
      <c r="B447" s="1">
        <v>44940</v>
      </c>
      <c r="C447" s="1">
        <v>44945</v>
      </c>
      <c r="D447" s="13">
        <f>Table1[[#This Row],[Shipped date]]-Table1[[#This Row],[Order Date]]</f>
        <v>5</v>
      </c>
      <c r="E447" t="s">
        <v>19</v>
      </c>
      <c r="F447" s="13" t="str">
        <f>TEXT(Table1[[#This Row],[Order Date]],"MMMM")</f>
        <v>January</v>
      </c>
      <c r="G447" s="13">
        <f t="shared" si="12"/>
        <v>2023</v>
      </c>
      <c r="H447" s="13" t="str">
        <f t="shared" si="13"/>
        <v>Q1</v>
      </c>
      <c r="I447" s="1" t="s">
        <v>20</v>
      </c>
      <c r="J447" s="7" t="s">
        <v>32</v>
      </c>
      <c r="K447" s="7" t="s">
        <v>16</v>
      </c>
      <c r="L447" t="s">
        <v>38</v>
      </c>
      <c r="M447" s="9">
        <v>752.91</v>
      </c>
      <c r="N447" s="4">
        <v>1</v>
      </c>
      <c r="O447" s="12">
        <v>0</v>
      </c>
      <c r="P447" s="9">
        <v>96.8</v>
      </c>
      <c r="Q447" s="10">
        <f>Table1[[#This Row],[Profit]]/Table1[[#This Row],[Sales]]</f>
        <v>0.12856782351144228</v>
      </c>
      <c r="R447" t="str">
        <f>IF(Table1[[#This Row],[Profit Margin]]&gt;0,"profit","loss")</f>
        <v>profit</v>
      </c>
      <c r="S447" t="str">
        <f>IF(Table1[[#This Row],[Discount]]=0,"No Discount",IF(Table1[[#This Row],[Discount]]&lt;=0.2,"low",IF(Table1[[#This Row],[Discount]]&lt;=0.3,"medium","high")))</f>
        <v>No Discount</v>
      </c>
      <c r="T447" s="15" t="str">
        <f>IF(Table1[[#This Row],[Days]]&lt;=2,"faster",IF(Table1[[#This Row],[Days]]&lt;=4,"Normal","slow"))</f>
        <v>slow</v>
      </c>
    </row>
    <row r="448" spans="1:20" x14ac:dyDescent="0.25">
      <c r="A448" s="4" t="s">
        <v>481</v>
      </c>
      <c r="B448" s="1">
        <v>45077</v>
      </c>
      <c r="C448" s="1">
        <v>45083</v>
      </c>
      <c r="D448" s="13">
        <f>Table1[[#This Row],[Shipped date]]-Table1[[#This Row],[Order Date]]</f>
        <v>6</v>
      </c>
      <c r="E448" t="s">
        <v>13</v>
      </c>
      <c r="F448" s="13" t="str">
        <f>TEXT(Table1[[#This Row],[Order Date]],"MMMM")</f>
        <v>May</v>
      </c>
      <c r="G448" s="13">
        <f t="shared" si="12"/>
        <v>2023</v>
      </c>
      <c r="H448" s="13" t="str">
        <f t="shared" si="13"/>
        <v>Q2</v>
      </c>
      <c r="I448" s="1" t="s">
        <v>20</v>
      </c>
      <c r="J448" s="7" t="s">
        <v>21</v>
      </c>
      <c r="K448" s="7" t="s">
        <v>22</v>
      </c>
      <c r="L448" t="s">
        <v>40</v>
      </c>
      <c r="M448" s="9">
        <v>588.48</v>
      </c>
      <c r="N448" s="4">
        <v>2</v>
      </c>
      <c r="O448" s="12">
        <v>0.1</v>
      </c>
      <c r="P448" s="9">
        <v>12.02</v>
      </c>
      <c r="Q448" s="10">
        <f>Table1[[#This Row],[Profit]]/Table1[[#This Row],[Sales]]</f>
        <v>2.0425502990755844E-2</v>
      </c>
      <c r="R448" t="str">
        <f>IF(Table1[[#This Row],[Profit Margin]]&gt;0,"profit","loss")</f>
        <v>profit</v>
      </c>
      <c r="S448" t="str">
        <f>IF(Table1[[#This Row],[Discount]]=0,"No Discount",IF(Table1[[#This Row],[Discount]]&lt;=0.2,"low",IF(Table1[[#This Row],[Discount]]&lt;=0.3,"medium","high")))</f>
        <v>low</v>
      </c>
      <c r="T448" s="15" t="str">
        <f>IF(Table1[[#This Row],[Days]]&lt;=2,"faster",IF(Table1[[#This Row],[Days]]&lt;=4,"Normal","slow"))</f>
        <v>slow</v>
      </c>
    </row>
    <row r="449" spans="1:20" x14ac:dyDescent="0.25">
      <c r="A449" s="4" t="s">
        <v>482</v>
      </c>
      <c r="B449" s="1">
        <v>45003</v>
      </c>
      <c r="C449" s="1">
        <v>45008</v>
      </c>
      <c r="D449" s="13">
        <f>Table1[[#This Row],[Shipped date]]-Table1[[#This Row],[Order Date]]</f>
        <v>5</v>
      </c>
      <c r="E449" t="s">
        <v>28</v>
      </c>
      <c r="F449" s="13" t="str">
        <f>TEXT(Table1[[#This Row],[Order Date]],"MMMM")</f>
        <v>March</v>
      </c>
      <c r="G449" s="13">
        <f t="shared" si="12"/>
        <v>2023</v>
      </c>
      <c r="H449" s="13" t="str">
        <f t="shared" si="13"/>
        <v>Q1</v>
      </c>
      <c r="I449" s="1" t="s">
        <v>20</v>
      </c>
      <c r="J449" s="7" t="s">
        <v>21</v>
      </c>
      <c r="K449" s="7" t="s">
        <v>22</v>
      </c>
      <c r="L449" t="s">
        <v>35</v>
      </c>
      <c r="M449" s="9">
        <v>403.35</v>
      </c>
      <c r="N449" s="4">
        <v>2</v>
      </c>
      <c r="O449" s="12">
        <v>0.2</v>
      </c>
      <c r="P449" s="9">
        <v>-51.27</v>
      </c>
      <c r="Q449" s="10">
        <f>Table1[[#This Row],[Profit]]/Table1[[#This Row],[Sales]]</f>
        <v>-0.12711044998140572</v>
      </c>
      <c r="R449" t="str">
        <f>IF(Table1[[#This Row],[Profit Margin]]&gt;0,"profit","loss")</f>
        <v>loss</v>
      </c>
      <c r="S449" t="str">
        <f>IF(Table1[[#This Row],[Discount]]=0,"No Discount",IF(Table1[[#This Row],[Discount]]&lt;=0.2,"low",IF(Table1[[#This Row],[Discount]]&lt;=0.3,"medium","high")))</f>
        <v>low</v>
      </c>
      <c r="T449" s="15" t="str">
        <f>IF(Table1[[#This Row],[Days]]&lt;=2,"faster",IF(Table1[[#This Row],[Days]]&lt;=4,"Normal","slow"))</f>
        <v>slow</v>
      </c>
    </row>
    <row r="450" spans="1:20" x14ac:dyDescent="0.25">
      <c r="A450" s="4" t="s">
        <v>483</v>
      </c>
      <c r="B450" s="1">
        <v>44942</v>
      </c>
      <c r="C450" s="1">
        <v>44947</v>
      </c>
      <c r="D450" s="13">
        <f>Table1[[#This Row],[Shipped date]]-Table1[[#This Row],[Order Date]]</f>
        <v>5</v>
      </c>
      <c r="E450" t="s">
        <v>13</v>
      </c>
      <c r="F450" s="13" t="str">
        <f>TEXT(Table1[[#This Row],[Order Date]],"MMMM")</f>
        <v>January</v>
      </c>
      <c r="G450" s="13">
        <f t="shared" si="12"/>
        <v>2023</v>
      </c>
      <c r="H450" s="13" t="str">
        <f t="shared" si="13"/>
        <v>Q1</v>
      </c>
      <c r="I450" s="1" t="s">
        <v>14</v>
      </c>
      <c r="J450" s="7" t="s">
        <v>15</v>
      </c>
      <c r="K450" s="7" t="s">
        <v>29</v>
      </c>
      <c r="L450" t="s">
        <v>43</v>
      </c>
      <c r="M450" s="9">
        <v>890.97</v>
      </c>
      <c r="N450" s="4">
        <v>5</v>
      </c>
      <c r="O450" s="12">
        <v>0</v>
      </c>
      <c r="P450" s="9">
        <v>128.75</v>
      </c>
      <c r="Q450" s="10">
        <f>Table1[[#This Row],[Profit]]/Table1[[#This Row],[Sales]]</f>
        <v>0.14450542666980931</v>
      </c>
      <c r="R450" t="str">
        <f>IF(Table1[[#This Row],[Profit Margin]]&gt;0,"profit","loss")</f>
        <v>profit</v>
      </c>
      <c r="S450" t="str">
        <f>IF(Table1[[#This Row],[Discount]]=0,"No Discount",IF(Table1[[#This Row],[Discount]]&lt;=0.2,"low",IF(Table1[[#This Row],[Discount]]&lt;=0.3,"medium","high")))</f>
        <v>No Discount</v>
      </c>
      <c r="T450" s="15" t="str">
        <f>IF(Table1[[#This Row],[Days]]&lt;=2,"faster",IF(Table1[[#This Row],[Days]]&lt;=4,"Normal","slow"))</f>
        <v>slow</v>
      </c>
    </row>
    <row r="451" spans="1:20" x14ac:dyDescent="0.25">
      <c r="A451" s="4" t="s">
        <v>484</v>
      </c>
      <c r="B451" s="1">
        <v>44966</v>
      </c>
      <c r="C451" s="1">
        <v>44970</v>
      </c>
      <c r="D451" s="13">
        <f>Table1[[#This Row],[Shipped date]]-Table1[[#This Row],[Order Date]]</f>
        <v>4</v>
      </c>
      <c r="E451" t="s">
        <v>25</v>
      </c>
      <c r="F451" s="13" t="str">
        <f>TEXT(Table1[[#This Row],[Order Date]],"MMMM")</f>
        <v>February</v>
      </c>
      <c r="G451" s="13">
        <f t="shared" ref="G451:G501" si="14">YEAR(B451)</f>
        <v>2023</v>
      </c>
      <c r="H451" s="13" t="str">
        <f t="shared" ref="H451:H501" si="15">"Q" &amp;ROUNDUP(MONTH(B451)/3,0)</f>
        <v>Q1</v>
      </c>
      <c r="I451" s="1" t="s">
        <v>20</v>
      </c>
      <c r="J451" s="7" t="s">
        <v>26</v>
      </c>
      <c r="K451" s="7" t="s">
        <v>16</v>
      </c>
      <c r="L451" t="s">
        <v>17</v>
      </c>
      <c r="M451" s="9">
        <v>54.71</v>
      </c>
      <c r="N451" s="4">
        <v>1</v>
      </c>
      <c r="O451" s="12">
        <v>0.2</v>
      </c>
      <c r="P451" s="9">
        <v>20.399999999999999</v>
      </c>
      <c r="Q451" s="10">
        <f>Table1[[#This Row],[Profit]]/Table1[[#This Row],[Sales]]</f>
        <v>0.37287515993419845</v>
      </c>
      <c r="R451" t="str">
        <f>IF(Table1[[#This Row],[Profit Margin]]&gt;0,"profit","loss")</f>
        <v>profit</v>
      </c>
      <c r="S451" t="str">
        <f>IF(Table1[[#This Row],[Discount]]=0,"No Discount",IF(Table1[[#This Row],[Discount]]&lt;=0.2,"low",IF(Table1[[#This Row],[Discount]]&lt;=0.3,"medium","high")))</f>
        <v>low</v>
      </c>
      <c r="T451" s="15" t="str">
        <f>IF(Table1[[#This Row],[Days]]&lt;=2,"faster",IF(Table1[[#This Row],[Days]]&lt;=4,"Normal","slow"))</f>
        <v>Normal</v>
      </c>
    </row>
    <row r="452" spans="1:20" x14ac:dyDescent="0.25">
      <c r="A452" s="4" t="s">
        <v>485</v>
      </c>
      <c r="B452" s="1">
        <v>44962</v>
      </c>
      <c r="C452" s="1">
        <v>44969</v>
      </c>
      <c r="D452" s="13">
        <f>Table1[[#This Row],[Shipped date]]-Table1[[#This Row],[Order Date]]</f>
        <v>7</v>
      </c>
      <c r="E452" t="s">
        <v>25</v>
      </c>
      <c r="F452" s="13" t="str">
        <f>TEXT(Table1[[#This Row],[Order Date]],"MMMM")</f>
        <v>February</v>
      </c>
      <c r="G452" s="13">
        <f t="shared" si="14"/>
        <v>2023</v>
      </c>
      <c r="H452" s="13" t="str">
        <f t="shared" si="15"/>
        <v>Q1</v>
      </c>
      <c r="I452" s="1" t="s">
        <v>14</v>
      </c>
      <c r="J452" s="7" t="s">
        <v>26</v>
      </c>
      <c r="K452" s="7" t="s">
        <v>29</v>
      </c>
      <c r="L452" t="s">
        <v>45</v>
      </c>
      <c r="M452" s="9">
        <v>559.84</v>
      </c>
      <c r="N452" s="4">
        <v>8</v>
      </c>
      <c r="O452" s="12">
        <v>0.2</v>
      </c>
      <c r="P452" s="9">
        <v>-56.29</v>
      </c>
      <c r="Q452" s="10">
        <f>Table1[[#This Row],[Profit]]/Table1[[#This Row],[Sales]]</f>
        <v>-0.1005465847384967</v>
      </c>
      <c r="R452" t="str">
        <f>IF(Table1[[#This Row],[Profit Margin]]&gt;0,"profit","loss")</f>
        <v>loss</v>
      </c>
      <c r="S452" t="str">
        <f>IF(Table1[[#This Row],[Discount]]=0,"No Discount",IF(Table1[[#This Row],[Discount]]&lt;=0.2,"low",IF(Table1[[#This Row],[Discount]]&lt;=0.3,"medium","high")))</f>
        <v>low</v>
      </c>
      <c r="T452" s="15" t="str">
        <f>IF(Table1[[#This Row],[Days]]&lt;=2,"faster",IF(Table1[[#This Row],[Days]]&lt;=4,"Normal","slow"))</f>
        <v>slow</v>
      </c>
    </row>
    <row r="453" spans="1:20" x14ac:dyDescent="0.25">
      <c r="A453" s="4" t="s">
        <v>486</v>
      </c>
      <c r="B453" s="1">
        <v>45271</v>
      </c>
      <c r="C453" s="1">
        <v>45276</v>
      </c>
      <c r="D453" s="13">
        <f>Table1[[#This Row],[Shipped date]]-Table1[[#This Row],[Order Date]]</f>
        <v>5</v>
      </c>
      <c r="E453" t="s">
        <v>28</v>
      </c>
      <c r="F453" s="13" t="str">
        <f>TEXT(Table1[[#This Row],[Order Date]],"MMMM")</f>
        <v>December</v>
      </c>
      <c r="G453" s="13">
        <f t="shared" si="14"/>
        <v>2023</v>
      </c>
      <c r="H453" s="13" t="str">
        <f t="shared" si="15"/>
        <v>Q4</v>
      </c>
      <c r="I453" s="1" t="s">
        <v>14</v>
      </c>
      <c r="J453" s="7" t="s">
        <v>15</v>
      </c>
      <c r="K453" s="7" t="s">
        <v>29</v>
      </c>
      <c r="L453" t="s">
        <v>45</v>
      </c>
      <c r="M453" s="9">
        <v>267.60000000000002</v>
      </c>
      <c r="N453" s="4">
        <v>2</v>
      </c>
      <c r="O453" s="12">
        <v>0.1</v>
      </c>
      <c r="P453" s="9">
        <v>-1.82</v>
      </c>
      <c r="Q453" s="10">
        <f>Table1[[#This Row],[Profit]]/Table1[[#This Row],[Sales]]</f>
        <v>-6.801195814648729E-3</v>
      </c>
      <c r="R453" t="str">
        <f>IF(Table1[[#This Row],[Profit Margin]]&gt;0,"profit","loss")</f>
        <v>loss</v>
      </c>
      <c r="S453" t="str">
        <f>IF(Table1[[#This Row],[Discount]]=0,"No Discount",IF(Table1[[#This Row],[Discount]]&lt;=0.2,"low",IF(Table1[[#This Row],[Discount]]&lt;=0.3,"medium","high")))</f>
        <v>low</v>
      </c>
      <c r="T453" s="15" t="str">
        <f>IF(Table1[[#This Row],[Days]]&lt;=2,"faster",IF(Table1[[#This Row],[Days]]&lt;=4,"Normal","slow"))</f>
        <v>slow</v>
      </c>
    </row>
    <row r="454" spans="1:20" x14ac:dyDescent="0.25">
      <c r="A454" s="4" t="s">
        <v>487</v>
      </c>
      <c r="B454" s="1">
        <v>45233</v>
      </c>
      <c r="C454" s="1">
        <v>45234</v>
      </c>
      <c r="D454" s="13">
        <f>Table1[[#This Row],[Shipped date]]-Table1[[#This Row],[Order Date]]</f>
        <v>1</v>
      </c>
      <c r="E454" t="s">
        <v>28</v>
      </c>
      <c r="F454" s="13" t="str">
        <f>TEXT(Table1[[#This Row],[Order Date]],"MMMM")</f>
        <v>November</v>
      </c>
      <c r="G454" s="13">
        <f t="shared" si="14"/>
        <v>2023</v>
      </c>
      <c r="H454" s="13" t="str">
        <f t="shared" si="15"/>
        <v>Q4</v>
      </c>
      <c r="I454" s="1" t="s">
        <v>14</v>
      </c>
      <c r="J454" s="7" t="s">
        <v>21</v>
      </c>
      <c r="K454" s="7" t="s">
        <v>29</v>
      </c>
      <c r="L454" t="s">
        <v>45</v>
      </c>
      <c r="M454" s="9">
        <v>728.95</v>
      </c>
      <c r="N454" s="4">
        <v>6</v>
      </c>
      <c r="O454" s="12">
        <v>0.1</v>
      </c>
      <c r="P454" s="9">
        <v>17.28</v>
      </c>
      <c r="Q454" s="10">
        <f>Table1[[#This Row],[Profit]]/Table1[[#This Row],[Sales]]</f>
        <v>2.3705329583647714E-2</v>
      </c>
      <c r="R454" t="str">
        <f>IF(Table1[[#This Row],[Profit Margin]]&gt;0,"profit","loss")</f>
        <v>profit</v>
      </c>
      <c r="S454" t="str">
        <f>IF(Table1[[#This Row],[Discount]]=0,"No Discount",IF(Table1[[#This Row],[Discount]]&lt;=0.2,"low",IF(Table1[[#This Row],[Discount]]&lt;=0.3,"medium","high")))</f>
        <v>low</v>
      </c>
      <c r="T454" s="15" t="str">
        <f>IF(Table1[[#This Row],[Days]]&lt;=2,"faster",IF(Table1[[#This Row],[Days]]&lt;=4,"Normal","slow"))</f>
        <v>faster</v>
      </c>
    </row>
    <row r="455" spans="1:20" x14ac:dyDescent="0.25">
      <c r="A455" s="4" t="s">
        <v>488</v>
      </c>
      <c r="B455" s="1">
        <v>44978</v>
      </c>
      <c r="C455" s="1">
        <v>44984</v>
      </c>
      <c r="D455" s="13">
        <f>Table1[[#This Row],[Shipped date]]-Table1[[#This Row],[Order Date]]</f>
        <v>6</v>
      </c>
      <c r="E455" t="s">
        <v>19</v>
      </c>
      <c r="F455" s="13" t="str">
        <f>TEXT(Table1[[#This Row],[Order Date]],"MMMM")</f>
        <v>February</v>
      </c>
      <c r="G455" s="13">
        <f t="shared" si="14"/>
        <v>2023</v>
      </c>
      <c r="H455" s="13" t="str">
        <f t="shared" si="15"/>
        <v>Q1</v>
      </c>
      <c r="I455" s="1" t="s">
        <v>37</v>
      </c>
      <c r="J455" s="7" t="s">
        <v>15</v>
      </c>
      <c r="K455" s="7" t="s">
        <v>22</v>
      </c>
      <c r="L455" t="s">
        <v>40</v>
      </c>
      <c r="M455" s="9">
        <v>962.88</v>
      </c>
      <c r="N455" s="4">
        <v>6</v>
      </c>
      <c r="O455" s="12">
        <v>0.3</v>
      </c>
      <c r="P455" s="9">
        <v>-164.75</v>
      </c>
      <c r="Q455" s="10">
        <f>Table1[[#This Row],[Profit]]/Table1[[#This Row],[Sales]]</f>
        <v>-0.1711012794948488</v>
      </c>
      <c r="R455" t="str">
        <f>IF(Table1[[#This Row],[Profit Margin]]&gt;0,"profit","loss")</f>
        <v>loss</v>
      </c>
      <c r="S455" t="str">
        <f>IF(Table1[[#This Row],[Discount]]=0,"No Discount",IF(Table1[[#This Row],[Discount]]&lt;=0.2,"low",IF(Table1[[#This Row],[Discount]]&lt;=0.3,"medium","high")))</f>
        <v>medium</v>
      </c>
      <c r="T455" s="15" t="str">
        <f>IF(Table1[[#This Row],[Days]]&lt;=2,"faster",IF(Table1[[#This Row],[Days]]&lt;=4,"Normal","slow"))</f>
        <v>slow</v>
      </c>
    </row>
    <row r="456" spans="1:20" x14ac:dyDescent="0.25">
      <c r="A456" s="4" t="s">
        <v>489</v>
      </c>
      <c r="B456" s="1">
        <v>45203</v>
      </c>
      <c r="C456" s="1">
        <v>45205</v>
      </c>
      <c r="D456" s="13">
        <f>Table1[[#This Row],[Shipped date]]-Table1[[#This Row],[Order Date]]</f>
        <v>2</v>
      </c>
      <c r="E456" t="s">
        <v>13</v>
      </c>
      <c r="F456" s="13" t="str">
        <f>TEXT(Table1[[#This Row],[Order Date]],"MMMM")</f>
        <v>October</v>
      </c>
      <c r="G456" s="13">
        <f t="shared" si="14"/>
        <v>2023</v>
      </c>
      <c r="H456" s="13" t="str">
        <f t="shared" si="15"/>
        <v>Q4</v>
      </c>
      <c r="I456" s="1" t="s">
        <v>20</v>
      </c>
      <c r="J456" s="7" t="s">
        <v>26</v>
      </c>
      <c r="K456" s="7" t="s">
        <v>29</v>
      </c>
      <c r="L456" t="s">
        <v>45</v>
      </c>
      <c r="M456" s="9">
        <v>94.61</v>
      </c>
      <c r="N456" s="4">
        <v>8</v>
      </c>
      <c r="O456" s="12">
        <v>0</v>
      </c>
      <c r="P456" s="9">
        <v>-6.23</v>
      </c>
      <c r="Q456" s="10">
        <f>Table1[[#This Row],[Profit]]/Table1[[#This Row],[Sales]]</f>
        <v>-6.5849275975055493E-2</v>
      </c>
      <c r="R456" t="str">
        <f>IF(Table1[[#This Row],[Profit Margin]]&gt;0,"profit","loss")</f>
        <v>loss</v>
      </c>
      <c r="S456" t="str">
        <f>IF(Table1[[#This Row],[Discount]]=0,"No Discount",IF(Table1[[#This Row],[Discount]]&lt;=0.2,"low",IF(Table1[[#This Row],[Discount]]&lt;=0.3,"medium","high")))</f>
        <v>No Discount</v>
      </c>
      <c r="T456" s="15" t="str">
        <f>IF(Table1[[#This Row],[Days]]&lt;=2,"faster",IF(Table1[[#This Row],[Days]]&lt;=4,"Normal","slow"))</f>
        <v>faster</v>
      </c>
    </row>
    <row r="457" spans="1:20" x14ac:dyDescent="0.25">
      <c r="A457" s="4" t="s">
        <v>490</v>
      </c>
      <c r="B457" s="1">
        <v>45187</v>
      </c>
      <c r="C457" s="1">
        <v>45191</v>
      </c>
      <c r="D457" s="13">
        <f>Table1[[#This Row],[Shipped date]]-Table1[[#This Row],[Order Date]]</f>
        <v>4</v>
      </c>
      <c r="E457" t="s">
        <v>28</v>
      </c>
      <c r="F457" s="13" t="str">
        <f>TEXT(Table1[[#This Row],[Order Date]],"MMMM")</f>
        <v>September</v>
      </c>
      <c r="G457" s="13">
        <f t="shared" si="14"/>
        <v>2023</v>
      </c>
      <c r="H457" s="13" t="str">
        <f t="shared" si="15"/>
        <v>Q3</v>
      </c>
      <c r="I457" s="1" t="s">
        <v>37</v>
      </c>
      <c r="J457" s="7" t="s">
        <v>21</v>
      </c>
      <c r="K457" s="7" t="s">
        <v>29</v>
      </c>
      <c r="L457" t="s">
        <v>45</v>
      </c>
      <c r="M457" s="9">
        <v>885.25</v>
      </c>
      <c r="N457" s="4">
        <v>3</v>
      </c>
      <c r="O457" s="12">
        <v>0.1</v>
      </c>
      <c r="P457" s="9">
        <v>21.47</v>
      </c>
      <c r="Q457" s="10">
        <f>Table1[[#This Row],[Profit]]/Table1[[#This Row],[Sales]]</f>
        <v>2.4253035865574694E-2</v>
      </c>
      <c r="R457" t="str">
        <f>IF(Table1[[#This Row],[Profit Margin]]&gt;0,"profit","loss")</f>
        <v>profit</v>
      </c>
      <c r="S457" t="str">
        <f>IF(Table1[[#This Row],[Discount]]=0,"No Discount",IF(Table1[[#This Row],[Discount]]&lt;=0.2,"low",IF(Table1[[#This Row],[Discount]]&lt;=0.3,"medium","high")))</f>
        <v>low</v>
      </c>
      <c r="T457" s="15" t="str">
        <f>IF(Table1[[#This Row],[Days]]&lt;=2,"faster",IF(Table1[[#This Row],[Days]]&lt;=4,"Normal","slow"))</f>
        <v>Normal</v>
      </c>
    </row>
    <row r="458" spans="1:20" x14ac:dyDescent="0.25">
      <c r="A458" s="4" t="s">
        <v>491</v>
      </c>
      <c r="B458" s="1">
        <v>44944</v>
      </c>
      <c r="C458" s="1">
        <v>44951</v>
      </c>
      <c r="D458" s="13">
        <f>Table1[[#This Row],[Shipped date]]-Table1[[#This Row],[Order Date]]</f>
        <v>7</v>
      </c>
      <c r="E458" t="s">
        <v>28</v>
      </c>
      <c r="F458" s="13" t="str">
        <f>TEXT(Table1[[#This Row],[Order Date]],"MMMM")</f>
        <v>January</v>
      </c>
      <c r="G458" s="13">
        <f t="shared" si="14"/>
        <v>2023</v>
      </c>
      <c r="H458" s="13" t="str">
        <f t="shared" si="15"/>
        <v>Q1</v>
      </c>
      <c r="I458" s="1" t="s">
        <v>20</v>
      </c>
      <c r="J458" s="7" t="s">
        <v>26</v>
      </c>
      <c r="K458" s="7" t="s">
        <v>29</v>
      </c>
      <c r="L458" t="s">
        <v>45</v>
      </c>
      <c r="M458" s="9">
        <v>828.19</v>
      </c>
      <c r="N458" s="4">
        <v>1</v>
      </c>
      <c r="O458" s="12">
        <v>0.3</v>
      </c>
      <c r="P458" s="9">
        <v>-139.29</v>
      </c>
      <c r="Q458" s="10">
        <f>Table1[[#This Row],[Profit]]/Table1[[#This Row],[Sales]]</f>
        <v>-0.16818604426520484</v>
      </c>
      <c r="R458" t="str">
        <f>IF(Table1[[#This Row],[Profit Margin]]&gt;0,"profit","loss")</f>
        <v>loss</v>
      </c>
      <c r="S458" t="str">
        <f>IF(Table1[[#This Row],[Discount]]=0,"No Discount",IF(Table1[[#This Row],[Discount]]&lt;=0.2,"low",IF(Table1[[#This Row],[Discount]]&lt;=0.3,"medium","high")))</f>
        <v>medium</v>
      </c>
      <c r="T458" s="15" t="str">
        <f>IF(Table1[[#This Row],[Days]]&lt;=2,"faster",IF(Table1[[#This Row],[Days]]&lt;=4,"Normal","slow"))</f>
        <v>slow</v>
      </c>
    </row>
    <row r="459" spans="1:20" x14ac:dyDescent="0.25">
      <c r="A459" s="4" t="s">
        <v>492</v>
      </c>
      <c r="B459" s="1">
        <v>45289</v>
      </c>
      <c r="C459" s="1">
        <v>45292</v>
      </c>
      <c r="D459" s="13">
        <f>Table1[[#This Row],[Shipped date]]-Table1[[#This Row],[Order Date]]</f>
        <v>3</v>
      </c>
      <c r="E459" t="s">
        <v>28</v>
      </c>
      <c r="F459" s="13" t="str">
        <f>TEXT(Table1[[#This Row],[Order Date]],"MMMM")</f>
        <v>December</v>
      </c>
      <c r="G459" s="13">
        <f t="shared" si="14"/>
        <v>2023</v>
      </c>
      <c r="H459" s="13" t="str">
        <f t="shared" si="15"/>
        <v>Q4</v>
      </c>
      <c r="I459" s="1" t="s">
        <v>20</v>
      </c>
      <c r="J459" s="7" t="s">
        <v>15</v>
      </c>
      <c r="K459" s="7" t="s">
        <v>22</v>
      </c>
      <c r="L459" t="s">
        <v>40</v>
      </c>
      <c r="M459" s="9">
        <v>552.9</v>
      </c>
      <c r="N459" s="4">
        <v>10</v>
      </c>
      <c r="O459" s="12">
        <v>0</v>
      </c>
      <c r="P459" s="9">
        <v>53.98</v>
      </c>
      <c r="Q459" s="10">
        <f>Table1[[#This Row],[Profit]]/Table1[[#This Row],[Sales]]</f>
        <v>9.7630674624706093E-2</v>
      </c>
      <c r="R459" t="str">
        <f>IF(Table1[[#This Row],[Profit Margin]]&gt;0,"profit","loss")</f>
        <v>profit</v>
      </c>
      <c r="S459" t="str">
        <f>IF(Table1[[#This Row],[Discount]]=0,"No Discount",IF(Table1[[#This Row],[Discount]]&lt;=0.2,"low",IF(Table1[[#This Row],[Discount]]&lt;=0.3,"medium","high")))</f>
        <v>No Discount</v>
      </c>
      <c r="T459" s="15" t="str">
        <f>IF(Table1[[#This Row],[Days]]&lt;=2,"faster",IF(Table1[[#This Row],[Days]]&lt;=4,"Normal","slow"))</f>
        <v>Normal</v>
      </c>
    </row>
    <row r="460" spans="1:20" x14ac:dyDescent="0.25">
      <c r="A460" s="4" t="s">
        <v>493</v>
      </c>
      <c r="B460" s="1">
        <v>45083</v>
      </c>
      <c r="C460" s="1">
        <v>45089</v>
      </c>
      <c r="D460" s="13">
        <f>Table1[[#This Row],[Shipped date]]-Table1[[#This Row],[Order Date]]</f>
        <v>6</v>
      </c>
      <c r="E460" t="s">
        <v>13</v>
      </c>
      <c r="F460" s="13" t="str">
        <f>TEXT(Table1[[#This Row],[Order Date]],"MMMM")</f>
        <v>June</v>
      </c>
      <c r="G460" s="13">
        <f t="shared" si="14"/>
        <v>2023</v>
      </c>
      <c r="H460" s="13" t="str">
        <f t="shared" si="15"/>
        <v>Q2</v>
      </c>
      <c r="I460" s="1" t="s">
        <v>20</v>
      </c>
      <c r="J460" s="7" t="s">
        <v>32</v>
      </c>
      <c r="K460" s="7" t="s">
        <v>22</v>
      </c>
      <c r="L460" t="s">
        <v>23</v>
      </c>
      <c r="M460" s="9">
        <v>881.06</v>
      </c>
      <c r="N460" s="4">
        <v>2</v>
      </c>
      <c r="O460" s="12">
        <v>0.2</v>
      </c>
      <c r="P460" s="9">
        <v>-47.33</v>
      </c>
      <c r="Q460" s="10">
        <f>Table1[[#This Row],[Profit]]/Table1[[#This Row],[Sales]]</f>
        <v>-5.3719383469911244E-2</v>
      </c>
      <c r="R460" t="str">
        <f>IF(Table1[[#This Row],[Profit Margin]]&gt;0,"profit","loss")</f>
        <v>loss</v>
      </c>
      <c r="S460" t="str">
        <f>IF(Table1[[#This Row],[Discount]]=0,"No Discount",IF(Table1[[#This Row],[Discount]]&lt;=0.2,"low",IF(Table1[[#This Row],[Discount]]&lt;=0.3,"medium","high")))</f>
        <v>low</v>
      </c>
      <c r="T460" s="15" t="str">
        <f>IF(Table1[[#This Row],[Days]]&lt;=2,"faster",IF(Table1[[#This Row],[Days]]&lt;=4,"Normal","slow"))</f>
        <v>slow</v>
      </c>
    </row>
    <row r="461" spans="1:20" x14ac:dyDescent="0.25">
      <c r="A461" s="4" t="s">
        <v>494</v>
      </c>
      <c r="B461" s="1">
        <v>45099</v>
      </c>
      <c r="C461" s="1">
        <v>45104</v>
      </c>
      <c r="D461" s="13">
        <f>Table1[[#This Row],[Shipped date]]-Table1[[#This Row],[Order Date]]</f>
        <v>5</v>
      </c>
      <c r="E461" t="s">
        <v>28</v>
      </c>
      <c r="F461" s="13" t="str">
        <f>TEXT(Table1[[#This Row],[Order Date]],"MMMM")</f>
        <v>June</v>
      </c>
      <c r="G461" s="13">
        <f t="shared" si="14"/>
        <v>2023</v>
      </c>
      <c r="H461" s="13" t="str">
        <f t="shared" si="15"/>
        <v>Q2</v>
      </c>
      <c r="I461" s="1" t="s">
        <v>14</v>
      </c>
      <c r="J461" s="7" t="s">
        <v>15</v>
      </c>
      <c r="K461" s="7" t="s">
        <v>22</v>
      </c>
      <c r="L461" t="s">
        <v>40</v>
      </c>
      <c r="M461" s="9">
        <v>260.38</v>
      </c>
      <c r="N461" s="4">
        <v>10</v>
      </c>
      <c r="O461" s="12">
        <v>0.2</v>
      </c>
      <c r="P461" s="9">
        <v>14.67</v>
      </c>
      <c r="Q461" s="10">
        <f>Table1[[#This Row],[Profit]]/Table1[[#This Row],[Sales]]</f>
        <v>5.6340732775174748E-2</v>
      </c>
      <c r="R461" t="str">
        <f>IF(Table1[[#This Row],[Profit Margin]]&gt;0,"profit","loss")</f>
        <v>profit</v>
      </c>
      <c r="S461" t="str">
        <f>IF(Table1[[#This Row],[Discount]]=0,"No Discount",IF(Table1[[#This Row],[Discount]]&lt;=0.2,"low",IF(Table1[[#This Row],[Discount]]&lt;=0.3,"medium","high")))</f>
        <v>low</v>
      </c>
      <c r="T461" s="15" t="str">
        <f>IF(Table1[[#This Row],[Days]]&lt;=2,"faster",IF(Table1[[#This Row],[Days]]&lt;=4,"Normal","slow"))</f>
        <v>slow</v>
      </c>
    </row>
    <row r="462" spans="1:20" x14ac:dyDescent="0.25">
      <c r="A462" s="4" t="s">
        <v>495</v>
      </c>
      <c r="B462" s="1">
        <v>45220</v>
      </c>
      <c r="C462" s="1">
        <v>45222</v>
      </c>
      <c r="D462" s="13">
        <f>Table1[[#This Row],[Shipped date]]-Table1[[#This Row],[Order Date]]</f>
        <v>2</v>
      </c>
      <c r="E462" t="s">
        <v>19</v>
      </c>
      <c r="F462" s="13" t="str">
        <f>TEXT(Table1[[#This Row],[Order Date]],"MMMM")</f>
        <v>October</v>
      </c>
      <c r="G462" s="13">
        <f t="shared" si="14"/>
        <v>2023</v>
      </c>
      <c r="H462" s="13" t="str">
        <f t="shared" si="15"/>
        <v>Q4</v>
      </c>
      <c r="I462" s="1" t="s">
        <v>20</v>
      </c>
      <c r="J462" s="7" t="s">
        <v>26</v>
      </c>
      <c r="K462" s="7" t="s">
        <v>29</v>
      </c>
      <c r="L462" t="s">
        <v>45</v>
      </c>
      <c r="M462" s="9">
        <v>714.2</v>
      </c>
      <c r="N462" s="4">
        <v>7</v>
      </c>
      <c r="O462" s="12">
        <v>0.2</v>
      </c>
      <c r="P462" s="9">
        <v>-74.709999999999994</v>
      </c>
      <c r="Q462" s="10">
        <f>Table1[[#This Row],[Profit]]/Table1[[#This Row],[Sales]]</f>
        <v>-0.10460655278633435</v>
      </c>
      <c r="R462" t="str">
        <f>IF(Table1[[#This Row],[Profit Margin]]&gt;0,"profit","loss")</f>
        <v>loss</v>
      </c>
      <c r="S462" t="str">
        <f>IF(Table1[[#This Row],[Discount]]=0,"No Discount",IF(Table1[[#This Row],[Discount]]&lt;=0.2,"low",IF(Table1[[#This Row],[Discount]]&lt;=0.3,"medium","high")))</f>
        <v>low</v>
      </c>
      <c r="T462" s="15" t="str">
        <f>IF(Table1[[#This Row],[Days]]&lt;=2,"faster",IF(Table1[[#This Row],[Days]]&lt;=4,"Normal","slow"))</f>
        <v>faster</v>
      </c>
    </row>
    <row r="463" spans="1:20" x14ac:dyDescent="0.25">
      <c r="A463" s="4" t="s">
        <v>496</v>
      </c>
      <c r="B463" s="1">
        <v>45056</v>
      </c>
      <c r="C463" s="1">
        <v>45057</v>
      </c>
      <c r="D463" s="13">
        <f>Table1[[#This Row],[Shipped date]]-Table1[[#This Row],[Order Date]]</f>
        <v>1</v>
      </c>
      <c r="E463" t="s">
        <v>19</v>
      </c>
      <c r="F463" s="13" t="str">
        <f>TEXT(Table1[[#This Row],[Order Date]],"MMMM")</f>
        <v>May</v>
      </c>
      <c r="G463" s="13">
        <f t="shared" si="14"/>
        <v>2023</v>
      </c>
      <c r="H463" s="13" t="str">
        <f t="shared" si="15"/>
        <v>Q2</v>
      </c>
      <c r="I463" s="1" t="s">
        <v>14</v>
      </c>
      <c r="J463" s="7" t="s">
        <v>15</v>
      </c>
      <c r="K463" s="7" t="s">
        <v>16</v>
      </c>
      <c r="L463" t="s">
        <v>33</v>
      </c>
      <c r="M463" s="9">
        <v>931.49</v>
      </c>
      <c r="N463" s="4">
        <v>4</v>
      </c>
      <c r="O463" s="12">
        <v>0.3</v>
      </c>
      <c r="P463" s="9">
        <v>-163</v>
      </c>
      <c r="Q463" s="10">
        <f>Table1[[#This Row],[Profit]]/Table1[[#This Row],[Sales]]</f>
        <v>-0.17498845935007354</v>
      </c>
      <c r="R463" t="str">
        <f>IF(Table1[[#This Row],[Profit Margin]]&gt;0,"profit","loss")</f>
        <v>loss</v>
      </c>
      <c r="S463" t="str">
        <f>IF(Table1[[#This Row],[Discount]]=0,"No Discount",IF(Table1[[#This Row],[Discount]]&lt;=0.2,"low",IF(Table1[[#This Row],[Discount]]&lt;=0.3,"medium","high")))</f>
        <v>medium</v>
      </c>
      <c r="T463" s="15" t="str">
        <f>IF(Table1[[#This Row],[Days]]&lt;=2,"faster",IF(Table1[[#This Row],[Days]]&lt;=4,"Normal","slow"))</f>
        <v>faster</v>
      </c>
    </row>
    <row r="464" spans="1:20" x14ac:dyDescent="0.25">
      <c r="A464" s="4" t="s">
        <v>497</v>
      </c>
      <c r="B464" s="1">
        <v>44944</v>
      </c>
      <c r="C464" s="1">
        <v>44947</v>
      </c>
      <c r="D464" s="13">
        <f>Table1[[#This Row],[Shipped date]]-Table1[[#This Row],[Order Date]]</f>
        <v>3</v>
      </c>
      <c r="E464" t="s">
        <v>25</v>
      </c>
      <c r="F464" s="13" t="str">
        <f>TEXT(Table1[[#This Row],[Order Date]],"MMMM")</f>
        <v>January</v>
      </c>
      <c r="G464" s="13">
        <f t="shared" si="14"/>
        <v>2023</v>
      </c>
      <c r="H464" s="13" t="str">
        <f t="shared" si="15"/>
        <v>Q1</v>
      </c>
      <c r="I464" s="1" t="s">
        <v>37</v>
      </c>
      <c r="J464" s="7" t="s">
        <v>21</v>
      </c>
      <c r="K464" s="7" t="s">
        <v>29</v>
      </c>
      <c r="L464" t="s">
        <v>30</v>
      </c>
      <c r="M464" s="9">
        <v>757.66</v>
      </c>
      <c r="N464" s="4">
        <v>2</v>
      </c>
      <c r="O464" s="12">
        <v>0.2</v>
      </c>
      <c r="P464" s="9">
        <v>-34.049999999999997</v>
      </c>
      <c r="Q464" s="10">
        <f>Table1[[#This Row],[Profit]]/Table1[[#This Row],[Sales]]</f>
        <v>-4.4941002560515267E-2</v>
      </c>
      <c r="R464" t="str">
        <f>IF(Table1[[#This Row],[Profit Margin]]&gt;0,"profit","loss")</f>
        <v>loss</v>
      </c>
      <c r="S464" t="str">
        <f>IF(Table1[[#This Row],[Discount]]=0,"No Discount",IF(Table1[[#This Row],[Discount]]&lt;=0.2,"low",IF(Table1[[#This Row],[Discount]]&lt;=0.3,"medium","high")))</f>
        <v>low</v>
      </c>
      <c r="T464" s="15" t="str">
        <f>IF(Table1[[#This Row],[Days]]&lt;=2,"faster",IF(Table1[[#This Row],[Days]]&lt;=4,"Normal","slow"))</f>
        <v>Normal</v>
      </c>
    </row>
    <row r="465" spans="1:20" x14ac:dyDescent="0.25">
      <c r="A465" s="4" t="s">
        <v>498</v>
      </c>
      <c r="B465" s="1">
        <v>44997</v>
      </c>
      <c r="C465" s="1">
        <v>45004</v>
      </c>
      <c r="D465" s="13">
        <f>Table1[[#This Row],[Shipped date]]-Table1[[#This Row],[Order Date]]</f>
        <v>7</v>
      </c>
      <c r="E465" t="s">
        <v>25</v>
      </c>
      <c r="F465" s="13" t="str">
        <f>TEXT(Table1[[#This Row],[Order Date]],"MMMM")</f>
        <v>March</v>
      </c>
      <c r="G465" s="13">
        <f t="shared" si="14"/>
        <v>2023</v>
      </c>
      <c r="H465" s="13" t="str">
        <f t="shared" si="15"/>
        <v>Q1</v>
      </c>
      <c r="I465" s="1" t="s">
        <v>14</v>
      </c>
      <c r="J465" s="7" t="s">
        <v>21</v>
      </c>
      <c r="K465" s="7" t="s">
        <v>29</v>
      </c>
      <c r="L465" t="s">
        <v>30</v>
      </c>
      <c r="M465" s="9">
        <v>962.09</v>
      </c>
      <c r="N465" s="4">
        <v>3</v>
      </c>
      <c r="O465" s="12">
        <v>0</v>
      </c>
      <c r="P465" s="9">
        <v>78.260000000000005</v>
      </c>
      <c r="Q465" s="10">
        <f>Table1[[#This Row],[Profit]]/Table1[[#This Row],[Sales]]</f>
        <v>8.1343741230030464E-2</v>
      </c>
      <c r="R465" t="str">
        <f>IF(Table1[[#This Row],[Profit Margin]]&gt;0,"profit","loss")</f>
        <v>profit</v>
      </c>
      <c r="S465" t="str">
        <f>IF(Table1[[#This Row],[Discount]]=0,"No Discount",IF(Table1[[#This Row],[Discount]]&lt;=0.2,"low",IF(Table1[[#This Row],[Discount]]&lt;=0.3,"medium","high")))</f>
        <v>No Discount</v>
      </c>
      <c r="T465" s="15" t="str">
        <f>IF(Table1[[#This Row],[Days]]&lt;=2,"faster",IF(Table1[[#This Row],[Days]]&lt;=4,"Normal","slow"))</f>
        <v>slow</v>
      </c>
    </row>
    <row r="466" spans="1:20" x14ac:dyDescent="0.25">
      <c r="A466" s="4" t="s">
        <v>499</v>
      </c>
      <c r="B466" s="1">
        <v>45025</v>
      </c>
      <c r="C466" s="1">
        <v>45028</v>
      </c>
      <c r="D466" s="13">
        <f>Table1[[#This Row],[Shipped date]]-Table1[[#This Row],[Order Date]]</f>
        <v>3</v>
      </c>
      <c r="E466" t="s">
        <v>25</v>
      </c>
      <c r="F466" s="13" t="str">
        <f>TEXT(Table1[[#This Row],[Order Date]],"MMMM")</f>
        <v>April</v>
      </c>
      <c r="G466" s="13">
        <f t="shared" si="14"/>
        <v>2023</v>
      </c>
      <c r="H466" s="13" t="str">
        <f t="shared" si="15"/>
        <v>Q2</v>
      </c>
      <c r="I466" s="1" t="s">
        <v>20</v>
      </c>
      <c r="J466" s="7" t="s">
        <v>21</v>
      </c>
      <c r="K466" s="7" t="s">
        <v>16</v>
      </c>
      <c r="L466" t="s">
        <v>33</v>
      </c>
      <c r="M466" s="9">
        <v>829.3</v>
      </c>
      <c r="N466" s="4">
        <v>1</v>
      </c>
      <c r="O466" s="12">
        <v>0.1</v>
      </c>
      <c r="P466" s="9">
        <v>37.4</v>
      </c>
      <c r="Q466" s="10">
        <f>Table1[[#This Row],[Profit]]/Table1[[#This Row],[Sales]]</f>
        <v>4.5098275654166166E-2</v>
      </c>
      <c r="R466" t="str">
        <f>IF(Table1[[#This Row],[Profit Margin]]&gt;0,"profit","loss")</f>
        <v>profit</v>
      </c>
      <c r="S466" t="str">
        <f>IF(Table1[[#This Row],[Discount]]=0,"No Discount",IF(Table1[[#This Row],[Discount]]&lt;=0.2,"low",IF(Table1[[#This Row],[Discount]]&lt;=0.3,"medium","high")))</f>
        <v>low</v>
      </c>
      <c r="T466" s="15" t="str">
        <f>IF(Table1[[#This Row],[Days]]&lt;=2,"faster",IF(Table1[[#This Row],[Days]]&lt;=4,"Normal","slow"))</f>
        <v>Normal</v>
      </c>
    </row>
    <row r="467" spans="1:20" x14ac:dyDescent="0.25">
      <c r="A467" s="4" t="s">
        <v>500</v>
      </c>
      <c r="B467" s="1">
        <v>45053</v>
      </c>
      <c r="C467" s="1">
        <v>45054</v>
      </c>
      <c r="D467" s="13">
        <f>Table1[[#This Row],[Shipped date]]-Table1[[#This Row],[Order Date]]</f>
        <v>1</v>
      </c>
      <c r="E467" t="s">
        <v>13</v>
      </c>
      <c r="F467" s="13" t="str">
        <f>TEXT(Table1[[#This Row],[Order Date]],"MMMM")</f>
        <v>May</v>
      </c>
      <c r="G467" s="13">
        <f t="shared" si="14"/>
        <v>2023</v>
      </c>
      <c r="H467" s="13" t="str">
        <f t="shared" si="15"/>
        <v>Q2</v>
      </c>
      <c r="I467" s="1" t="s">
        <v>37</v>
      </c>
      <c r="J467" s="7" t="s">
        <v>26</v>
      </c>
      <c r="K467" s="7" t="s">
        <v>16</v>
      </c>
      <c r="L467" t="s">
        <v>38</v>
      </c>
      <c r="M467" s="9">
        <v>244.05</v>
      </c>
      <c r="N467" s="4">
        <v>7</v>
      </c>
      <c r="O467" s="12">
        <v>0.2</v>
      </c>
      <c r="P467" s="9">
        <v>-33.15</v>
      </c>
      <c r="Q467" s="10">
        <f>Table1[[#This Row],[Profit]]/Table1[[#This Row],[Sales]]</f>
        <v>-0.13583282114320835</v>
      </c>
      <c r="R467" t="str">
        <f>IF(Table1[[#This Row],[Profit Margin]]&gt;0,"profit","loss")</f>
        <v>loss</v>
      </c>
      <c r="S467" t="str">
        <f>IF(Table1[[#This Row],[Discount]]=0,"No Discount",IF(Table1[[#This Row],[Discount]]&lt;=0.2,"low",IF(Table1[[#This Row],[Discount]]&lt;=0.3,"medium","high")))</f>
        <v>low</v>
      </c>
      <c r="T467" s="15" t="str">
        <f>IF(Table1[[#This Row],[Days]]&lt;=2,"faster",IF(Table1[[#This Row],[Days]]&lt;=4,"Normal","slow"))</f>
        <v>faster</v>
      </c>
    </row>
    <row r="468" spans="1:20" x14ac:dyDescent="0.25">
      <c r="A468" s="4" t="s">
        <v>501</v>
      </c>
      <c r="B468" s="1">
        <v>45279</v>
      </c>
      <c r="C468" s="1">
        <v>45281</v>
      </c>
      <c r="D468" s="13">
        <f>Table1[[#This Row],[Shipped date]]-Table1[[#This Row],[Order Date]]</f>
        <v>2</v>
      </c>
      <c r="E468" t="s">
        <v>13</v>
      </c>
      <c r="F468" s="13" t="str">
        <f>TEXT(Table1[[#This Row],[Order Date]],"MMMM")</f>
        <v>December</v>
      </c>
      <c r="G468" s="13">
        <f t="shared" si="14"/>
        <v>2023</v>
      </c>
      <c r="H468" s="13" t="str">
        <f t="shared" si="15"/>
        <v>Q4</v>
      </c>
      <c r="I468" s="1" t="s">
        <v>20</v>
      </c>
      <c r="J468" s="7" t="s">
        <v>26</v>
      </c>
      <c r="K468" s="7" t="s">
        <v>16</v>
      </c>
      <c r="L468" t="s">
        <v>33</v>
      </c>
      <c r="M468" s="9">
        <v>821.61</v>
      </c>
      <c r="N468" s="4">
        <v>8</v>
      </c>
      <c r="O468" s="12">
        <v>0.1</v>
      </c>
      <c r="P468" s="9">
        <v>32.96</v>
      </c>
      <c r="Q468" s="10">
        <f>Table1[[#This Row],[Profit]]/Table1[[#This Row],[Sales]]</f>
        <v>4.0116356908995753E-2</v>
      </c>
      <c r="R468" t="str">
        <f>IF(Table1[[#This Row],[Profit Margin]]&gt;0,"profit","loss")</f>
        <v>profit</v>
      </c>
      <c r="S468" t="str">
        <f>IF(Table1[[#This Row],[Discount]]=0,"No Discount",IF(Table1[[#This Row],[Discount]]&lt;=0.2,"low",IF(Table1[[#This Row],[Discount]]&lt;=0.3,"medium","high")))</f>
        <v>low</v>
      </c>
      <c r="T468" s="15" t="str">
        <f>IF(Table1[[#This Row],[Days]]&lt;=2,"faster",IF(Table1[[#This Row],[Days]]&lt;=4,"Normal","slow"))</f>
        <v>faster</v>
      </c>
    </row>
    <row r="469" spans="1:20" x14ac:dyDescent="0.25">
      <c r="A469" s="4" t="s">
        <v>502</v>
      </c>
      <c r="B469" s="1">
        <v>44944</v>
      </c>
      <c r="C469" s="1">
        <v>44946</v>
      </c>
      <c r="D469" s="13">
        <f>Table1[[#This Row],[Shipped date]]-Table1[[#This Row],[Order Date]]</f>
        <v>2</v>
      </c>
      <c r="E469" t="s">
        <v>13</v>
      </c>
      <c r="F469" s="13" t="str">
        <f>TEXT(Table1[[#This Row],[Order Date]],"MMMM")</f>
        <v>January</v>
      </c>
      <c r="G469" s="13">
        <f t="shared" si="14"/>
        <v>2023</v>
      </c>
      <c r="H469" s="13" t="str">
        <f t="shared" si="15"/>
        <v>Q1</v>
      </c>
      <c r="I469" s="1" t="s">
        <v>37</v>
      </c>
      <c r="J469" s="7" t="s">
        <v>15</v>
      </c>
      <c r="K469" s="7" t="s">
        <v>16</v>
      </c>
      <c r="L469" t="s">
        <v>17</v>
      </c>
      <c r="M469" s="9">
        <v>273.51</v>
      </c>
      <c r="N469" s="4">
        <v>3</v>
      </c>
      <c r="O469" s="12">
        <v>0.1</v>
      </c>
      <c r="P469" s="9">
        <v>0.09</v>
      </c>
      <c r="Q469" s="10">
        <f>Table1[[#This Row],[Profit]]/Table1[[#This Row],[Sales]]</f>
        <v>3.2905561039815728E-4</v>
      </c>
      <c r="R469" t="str">
        <f>IF(Table1[[#This Row],[Profit Margin]]&gt;0,"profit","loss")</f>
        <v>profit</v>
      </c>
      <c r="S469" t="str">
        <f>IF(Table1[[#This Row],[Discount]]=0,"No Discount",IF(Table1[[#This Row],[Discount]]&lt;=0.2,"low",IF(Table1[[#This Row],[Discount]]&lt;=0.3,"medium","high")))</f>
        <v>low</v>
      </c>
      <c r="T469" s="15" t="str">
        <f>IF(Table1[[#This Row],[Days]]&lt;=2,"faster",IF(Table1[[#This Row],[Days]]&lt;=4,"Normal","slow"))</f>
        <v>faster</v>
      </c>
    </row>
    <row r="470" spans="1:20" x14ac:dyDescent="0.25">
      <c r="A470" s="4" t="s">
        <v>503</v>
      </c>
      <c r="B470" s="1">
        <v>45163</v>
      </c>
      <c r="C470" s="1">
        <v>45166</v>
      </c>
      <c r="D470" s="13">
        <f>Table1[[#This Row],[Shipped date]]-Table1[[#This Row],[Order Date]]</f>
        <v>3</v>
      </c>
      <c r="E470" t="s">
        <v>25</v>
      </c>
      <c r="F470" s="13" t="str">
        <f>TEXT(Table1[[#This Row],[Order Date]],"MMMM")</f>
        <v>August</v>
      </c>
      <c r="G470" s="13">
        <f t="shared" si="14"/>
        <v>2023</v>
      </c>
      <c r="H470" s="13" t="str">
        <f t="shared" si="15"/>
        <v>Q3</v>
      </c>
      <c r="I470" s="1" t="s">
        <v>37</v>
      </c>
      <c r="J470" s="7" t="s">
        <v>15</v>
      </c>
      <c r="K470" s="7" t="s">
        <v>29</v>
      </c>
      <c r="L470" t="s">
        <v>43</v>
      </c>
      <c r="M470" s="9">
        <v>624.59</v>
      </c>
      <c r="N470" s="4">
        <v>3</v>
      </c>
      <c r="O470" s="12">
        <v>0</v>
      </c>
      <c r="P470" s="9">
        <v>81.650000000000006</v>
      </c>
      <c r="Q470" s="10">
        <f>Table1[[#This Row],[Profit]]/Table1[[#This Row],[Sales]]</f>
        <v>0.13072575609599899</v>
      </c>
      <c r="R470" t="str">
        <f>IF(Table1[[#This Row],[Profit Margin]]&gt;0,"profit","loss")</f>
        <v>profit</v>
      </c>
      <c r="S470" t="str">
        <f>IF(Table1[[#This Row],[Discount]]=0,"No Discount",IF(Table1[[#This Row],[Discount]]&lt;=0.2,"low",IF(Table1[[#This Row],[Discount]]&lt;=0.3,"medium","high")))</f>
        <v>No Discount</v>
      </c>
      <c r="T470" s="15" t="str">
        <f>IF(Table1[[#This Row],[Days]]&lt;=2,"faster",IF(Table1[[#This Row],[Days]]&lt;=4,"Normal","slow"))</f>
        <v>Normal</v>
      </c>
    </row>
    <row r="471" spans="1:20" x14ac:dyDescent="0.25">
      <c r="A471" s="4" t="s">
        <v>504</v>
      </c>
      <c r="B471" s="1">
        <v>44992</v>
      </c>
      <c r="C471" s="1">
        <v>44995</v>
      </c>
      <c r="D471" s="13">
        <f>Table1[[#This Row],[Shipped date]]-Table1[[#This Row],[Order Date]]</f>
        <v>3</v>
      </c>
      <c r="E471" t="s">
        <v>13</v>
      </c>
      <c r="F471" s="13" t="str">
        <f>TEXT(Table1[[#This Row],[Order Date]],"MMMM")</f>
        <v>March</v>
      </c>
      <c r="G471" s="13">
        <f t="shared" si="14"/>
        <v>2023</v>
      </c>
      <c r="H471" s="13" t="str">
        <f t="shared" si="15"/>
        <v>Q1</v>
      </c>
      <c r="I471" s="1" t="s">
        <v>14</v>
      </c>
      <c r="J471" s="7" t="s">
        <v>32</v>
      </c>
      <c r="K471" s="7" t="s">
        <v>29</v>
      </c>
      <c r="L471" t="s">
        <v>30</v>
      </c>
      <c r="M471" s="9">
        <v>133.53</v>
      </c>
      <c r="N471" s="4">
        <v>4</v>
      </c>
      <c r="O471" s="12">
        <v>0.1</v>
      </c>
      <c r="P471" s="9">
        <v>24.38</v>
      </c>
      <c r="Q471" s="10">
        <f>Table1[[#This Row],[Profit]]/Table1[[#This Row],[Sales]]</f>
        <v>0.18258069347712125</v>
      </c>
      <c r="R471" t="str">
        <f>IF(Table1[[#This Row],[Profit Margin]]&gt;0,"profit","loss")</f>
        <v>profit</v>
      </c>
      <c r="S471" t="str">
        <f>IF(Table1[[#This Row],[Discount]]=0,"No Discount",IF(Table1[[#This Row],[Discount]]&lt;=0.2,"low",IF(Table1[[#This Row],[Discount]]&lt;=0.3,"medium","high")))</f>
        <v>low</v>
      </c>
      <c r="T471" s="15" t="str">
        <f>IF(Table1[[#This Row],[Days]]&lt;=2,"faster",IF(Table1[[#This Row],[Days]]&lt;=4,"Normal","slow"))</f>
        <v>Normal</v>
      </c>
    </row>
    <row r="472" spans="1:20" x14ac:dyDescent="0.25">
      <c r="A472" s="4" t="s">
        <v>505</v>
      </c>
      <c r="B472" s="1">
        <v>45084</v>
      </c>
      <c r="C472" s="1">
        <v>45091</v>
      </c>
      <c r="D472" s="13">
        <f>Table1[[#This Row],[Shipped date]]-Table1[[#This Row],[Order Date]]</f>
        <v>7</v>
      </c>
      <c r="E472" t="s">
        <v>28</v>
      </c>
      <c r="F472" s="13" t="str">
        <f>TEXT(Table1[[#This Row],[Order Date]],"MMMM")</f>
        <v>June</v>
      </c>
      <c r="G472" s="13">
        <f t="shared" si="14"/>
        <v>2023</v>
      </c>
      <c r="H472" s="13" t="str">
        <f t="shared" si="15"/>
        <v>Q2</v>
      </c>
      <c r="I472" s="1" t="s">
        <v>20</v>
      </c>
      <c r="J472" s="7" t="s">
        <v>32</v>
      </c>
      <c r="K472" s="7" t="s">
        <v>29</v>
      </c>
      <c r="L472" t="s">
        <v>45</v>
      </c>
      <c r="M472" s="9">
        <v>549.19000000000005</v>
      </c>
      <c r="N472" s="4">
        <v>8</v>
      </c>
      <c r="O472" s="12">
        <v>0.2</v>
      </c>
      <c r="P472" s="9">
        <v>-65.930000000000007</v>
      </c>
      <c r="Q472" s="10">
        <f>Table1[[#This Row],[Profit]]/Table1[[#This Row],[Sales]]</f>
        <v>-0.12004952748593382</v>
      </c>
      <c r="R472" t="str">
        <f>IF(Table1[[#This Row],[Profit Margin]]&gt;0,"profit","loss")</f>
        <v>loss</v>
      </c>
      <c r="S472" t="str">
        <f>IF(Table1[[#This Row],[Discount]]=0,"No Discount",IF(Table1[[#This Row],[Discount]]&lt;=0.2,"low",IF(Table1[[#This Row],[Discount]]&lt;=0.3,"medium","high")))</f>
        <v>low</v>
      </c>
      <c r="T472" s="15" t="str">
        <f>IF(Table1[[#This Row],[Days]]&lt;=2,"faster",IF(Table1[[#This Row],[Days]]&lt;=4,"Normal","slow"))</f>
        <v>slow</v>
      </c>
    </row>
    <row r="473" spans="1:20" x14ac:dyDescent="0.25">
      <c r="A473" s="4" t="s">
        <v>506</v>
      </c>
      <c r="B473" s="1">
        <v>45137</v>
      </c>
      <c r="C473" s="1">
        <v>45142</v>
      </c>
      <c r="D473" s="13">
        <f>Table1[[#This Row],[Shipped date]]-Table1[[#This Row],[Order Date]]</f>
        <v>5</v>
      </c>
      <c r="E473" t="s">
        <v>25</v>
      </c>
      <c r="F473" s="13" t="str">
        <f>TEXT(Table1[[#This Row],[Order Date]],"MMMM")</f>
        <v>July</v>
      </c>
      <c r="G473" s="13">
        <f t="shared" si="14"/>
        <v>2023</v>
      </c>
      <c r="H473" s="13" t="str">
        <f t="shared" si="15"/>
        <v>Q3</v>
      </c>
      <c r="I473" s="1" t="s">
        <v>20</v>
      </c>
      <c r="J473" s="7" t="s">
        <v>26</v>
      </c>
      <c r="K473" s="7" t="s">
        <v>22</v>
      </c>
      <c r="L473" t="s">
        <v>40</v>
      </c>
      <c r="M473" s="9">
        <v>297.68</v>
      </c>
      <c r="N473" s="4">
        <v>1</v>
      </c>
      <c r="O473" s="12">
        <v>0.2</v>
      </c>
      <c r="P473" s="9">
        <v>-11.88</v>
      </c>
      <c r="Q473" s="10">
        <f>Table1[[#This Row],[Profit]]/Table1[[#This Row],[Sales]]</f>
        <v>-3.9908626713249129E-2</v>
      </c>
      <c r="R473" t="str">
        <f>IF(Table1[[#This Row],[Profit Margin]]&gt;0,"profit","loss")</f>
        <v>loss</v>
      </c>
      <c r="S473" t="str">
        <f>IF(Table1[[#This Row],[Discount]]=0,"No Discount",IF(Table1[[#This Row],[Discount]]&lt;=0.2,"low",IF(Table1[[#This Row],[Discount]]&lt;=0.3,"medium","high")))</f>
        <v>low</v>
      </c>
      <c r="T473" s="15" t="str">
        <f>IF(Table1[[#This Row],[Days]]&lt;=2,"faster",IF(Table1[[#This Row],[Days]]&lt;=4,"Normal","slow"))</f>
        <v>slow</v>
      </c>
    </row>
    <row r="474" spans="1:20" x14ac:dyDescent="0.25">
      <c r="A474" s="4" t="s">
        <v>507</v>
      </c>
      <c r="B474" s="1">
        <v>45152</v>
      </c>
      <c r="C474" s="1">
        <v>45155</v>
      </c>
      <c r="D474" s="13">
        <f>Table1[[#This Row],[Shipped date]]-Table1[[#This Row],[Order Date]]</f>
        <v>3</v>
      </c>
      <c r="E474" t="s">
        <v>13</v>
      </c>
      <c r="F474" s="13" t="str">
        <f>TEXT(Table1[[#This Row],[Order Date]],"MMMM")</f>
        <v>August</v>
      </c>
      <c r="G474" s="13">
        <f t="shared" si="14"/>
        <v>2023</v>
      </c>
      <c r="H474" s="13" t="str">
        <f t="shared" si="15"/>
        <v>Q3</v>
      </c>
      <c r="I474" s="1" t="s">
        <v>37</v>
      </c>
      <c r="J474" s="7" t="s">
        <v>15</v>
      </c>
      <c r="K474" s="7" t="s">
        <v>29</v>
      </c>
      <c r="L474" t="s">
        <v>45</v>
      </c>
      <c r="M474" s="9">
        <v>963.73</v>
      </c>
      <c r="N474" s="4">
        <v>2</v>
      </c>
      <c r="O474" s="12">
        <v>0.2</v>
      </c>
      <c r="P474" s="9">
        <v>-88.92</v>
      </c>
      <c r="Q474" s="10">
        <f>Table1[[#This Row],[Profit]]/Table1[[#This Row],[Sales]]</f>
        <v>-9.2266506179116553E-2</v>
      </c>
      <c r="R474" t="str">
        <f>IF(Table1[[#This Row],[Profit Margin]]&gt;0,"profit","loss")</f>
        <v>loss</v>
      </c>
      <c r="S474" t="str">
        <f>IF(Table1[[#This Row],[Discount]]=0,"No Discount",IF(Table1[[#This Row],[Discount]]&lt;=0.2,"low",IF(Table1[[#This Row],[Discount]]&lt;=0.3,"medium","high")))</f>
        <v>low</v>
      </c>
      <c r="T474" s="15" t="str">
        <f>IF(Table1[[#This Row],[Days]]&lt;=2,"faster",IF(Table1[[#This Row],[Days]]&lt;=4,"Normal","slow"))</f>
        <v>Normal</v>
      </c>
    </row>
    <row r="475" spans="1:20" x14ac:dyDescent="0.25">
      <c r="A475" s="4" t="s">
        <v>508</v>
      </c>
      <c r="B475" s="1">
        <v>45152</v>
      </c>
      <c r="C475" s="1">
        <v>45155</v>
      </c>
      <c r="D475" s="13">
        <f>Table1[[#This Row],[Shipped date]]-Table1[[#This Row],[Order Date]]</f>
        <v>3</v>
      </c>
      <c r="E475" t="s">
        <v>19</v>
      </c>
      <c r="F475" s="13" t="str">
        <f>TEXT(Table1[[#This Row],[Order Date]],"MMMM")</f>
        <v>August</v>
      </c>
      <c r="G475" s="13">
        <f t="shared" si="14"/>
        <v>2023</v>
      </c>
      <c r="H475" s="13" t="str">
        <f t="shared" si="15"/>
        <v>Q3</v>
      </c>
      <c r="I475" s="1" t="s">
        <v>37</v>
      </c>
      <c r="J475" s="7" t="s">
        <v>32</v>
      </c>
      <c r="K475" s="7" t="s">
        <v>29</v>
      </c>
      <c r="L475" t="s">
        <v>45</v>
      </c>
      <c r="M475" s="9">
        <v>195.91</v>
      </c>
      <c r="N475" s="4">
        <v>4</v>
      </c>
      <c r="O475" s="12">
        <v>0</v>
      </c>
      <c r="P475" s="9">
        <v>6.77</v>
      </c>
      <c r="Q475" s="10">
        <f>Table1[[#This Row],[Profit]]/Table1[[#This Row],[Sales]]</f>
        <v>3.4556684191720685E-2</v>
      </c>
      <c r="R475" t="str">
        <f>IF(Table1[[#This Row],[Profit Margin]]&gt;0,"profit","loss")</f>
        <v>profit</v>
      </c>
      <c r="S475" t="str">
        <f>IF(Table1[[#This Row],[Discount]]=0,"No Discount",IF(Table1[[#This Row],[Discount]]&lt;=0.2,"low",IF(Table1[[#This Row],[Discount]]&lt;=0.3,"medium","high")))</f>
        <v>No Discount</v>
      </c>
      <c r="T475" s="15" t="str">
        <f>IF(Table1[[#This Row],[Days]]&lt;=2,"faster",IF(Table1[[#This Row],[Days]]&lt;=4,"Normal","slow"))</f>
        <v>Normal</v>
      </c>
    </row>
    <row r="476" spans="1:20" x14ac:dyDescent="0.25">
      <c r="A476" s="4" t="s">
        <v>509</v>
      </c>
      <c r="B476" s="1">
        <v>45266</v>
      </c>
      <c r="C476" s="1">
        <v>45270</v>
      </c>
      <c r="D476" s="13">
        <f>Table1[[#This Row],[Shipped date]]-Table1[[#This Row],[Order Date]]</f>
        <v>4</v>
      </c>
      <c r="E476" t="s">
        <v>25</v>
      </c>
      <c r="F476" s="13" t="str">
        <f>TEXT(Table1[[#This Row],[Order Date]],"MMMM")</f>
        <v>December</v>
      </c>
      <c r="G476" s="13">
        <f t="shared" si="14"/>
        <v>2023</v>
      </c>
      <c r="H476" s="13" t="str">
        <f t="shared" si="15"/>
        <v>Q4</v>
      </c>
      <c r="I476" s="1" t="s">
        <v>20</v>
      </c>
      <c r="J476" s="7" t="s">
        <v>15</v>
      </c>
      <c r="K476" s="7" t="s">
        <v>16</v>
      </c>
      <c r="L476" t="s">
        <v>33</v>
      </c>
      <c r="M476" s="9">
        <v>938.48</v>
      </c>
      <c r="N476" s="4">
        <v>2</v>
      </c>
      <c r="O476" s="12">
        <v>0.3</v>
      </c>
      <c r="P476" s="9">
        <v>-153.74</v>
      </c>
      <c r="Q476" s="10">
        <f>Table1[[#This Row],[Profit]]/Table1[[#This Row],[Sales]]</f>
        <v>-0.16381808882448215</v>
      </c>
      <c r="R476" t="str">
        <f>IF(Table1[[#This Row],[Profit Margin]]&gt;0,"profit","loss")</f>
        <v>loss</v>
      </c>
      <c r="S476" t="str">
        <f>IF(Table1[[#This Row],[Discount]]=0,"No Discount",IF(Table1[[#This Row],[Discount]]&lt;=0.2,"low",IF(Table1[[#This Row],[Discount]]&lt;=0.3,"medium","high")))</f>
        <v>medium</v>
      </c>
      <c r="T476" s="15" t="str">
        <f>IF(Table1[[#This Row],[Days]]&lt;=2,"faster",IF(Table1[[#This Row],[Days]]&lt;=4,"Normal","slow"))</f>
        <v>Normal</v>
      </c>
    </row>
    <row r="477" spans="1:20" x14ac:dyDescent="0.25">
      <c r="A477" s="4" t="s">
        <v>510</v>
      </c>
      <c r="B477" s="1">
        <v>45086</v>
      </c>
      <c r="C477" s="1">
        <v>45091</v>
      </c>
      <c r="D477" s="13">
        <f>Table1[[#This Row],[Shipped date]]-Table1[[#This Row],[Order Date]]</f>
        <v>5</v>
      </c>
      <c r="E477" t="s">
        <v>25</v>
      </c>
      <c r="F477" s="13" t="str">
        <f>TEXT(Table1[[#This Row],[Order Date]],"MMMM")</f>
        <v>June</v>
      </c>
      <c r="G477" s="13">
        <f t="shared" si="14"/>
        <v>2023</v>
      </c>
      <c r="H477" s="13" t="str">
        <f t="shared" si="15"/>
        <v>Q2</v>
      </c>
      <c r="I477" s="1" t="s">
        <v>20</v>
      </c>
      <c r="J477" s="7" t="s">
        <v>26</v>
      </c>
      <c r="K477" s="7" t="s">
        <v>29</v>
      </c>
      <c r="L477" t="s">
        <v>30</v>
      </c>
      <c r="M477" s="9">
        <v>948.35</v>
      </c>
      <c r="N477" s="4">
        <v>4</v>
      </c>
      <c r="O477" s="12">
        <v>0.3</v>
      </c>
      <c r="P477" s="9">
        <v>-160.1</v>
      </c>
      <c r="Q477" s="10">
        <f>Table1[[#This Row],[Profit]]/Table1[[#This Row],[Sales]]</f>
        <v>-0.16881952865503241</v>
      </c>
      <c r="R477" t="str">
        <f>IF(Table1[[#This Row],[Profit Margin]]&gt;0,"profit","loss")</f>
        <v>loss</v>
      </c>
      <c r="S477" t="str">
        <f>IF(Table1[[#This Row],[Discount]]=0,"No Discount",IF(Table1[[#This Row],[Discount]]&lt;=0.2,"low",IF(Table1[[#This Row],[Discount]]&lt;=0.3,"medium","high")))</f>
        <v>medium</v>
      </c>
      <c r="T477" s="15" t="str">
        <f>IF(Table1[[#This Row],[Days]]&lt;=2,"faster",IF(Table1[[#This Row],[Days]]&lt;=4,"Normal","slow"))</f>
        <v>slow</v>
      </c>
    </row>
    <row r="478" spans="1:20" x14ac:dyDescent="0.25">
      <c r="A478" s="4" t="s">
        <v>511</v>
      </c>
      <c r="B478" s="1">
        <v>45183</v>
      </c>
      <c r="C478" s="1">
        <v>45186</v>
      </c>
      <c r="D478" s="13">
        <f>Table1[[#This Row],[Shipped date]]-Table1[[#This Row],[Order Date]]</f>
        <v>3</v>
      </c>
      <c r="E478" t="s">
        <v>28</v>
      </c>
      <c r="F478" s="13" t="str">
        <f>TEXT(Table1[[#This Row],[Order Date]],"MMMM")</f>
        <v>September</v>
      </c>
      <c r="G478" s="13">
        <f t="shared" si="14"/>
        <v>2023</v>
      </c>
      <c r="H478" s="13" t="str">
        <f t="shared" si="15"/>
        <v>Q3</v>
      </c>
      <c r="I478" s="1" t="s">
        <v>37</v>
      </c>
      <c r="J478" s="7" t="s">
        <v>21</v>
      </c>
      <c r="K478" s="7" t="s">
        <v>16</v>
      </c>
      <c r="L478" t="s">
        <v>33</v>
      </c>
      <c r="M478" s="9">
        <v>86</v>
      </c>
      <c r="N478" s="4">
        <v>1</v>
      </c>
      <c r="O478" s="12">
        <v>0.1</v>
      </c>
      <c r="P478" s="9">
        <v>13.15</v>
      </c>
      <c r="Q478" s="10">
        <f>Table1[[#This Row],[Profit]]/Table1[[#This Row],[Sales]]</f>
        <v>0.15290697674418605</v>
      </c>
      <c r="R478" t="str">
        <f>IF(Table1[[#This Row],[Profit Margin]]&gt;0,"profit","loss")</f>
        <v>profit</v>
      </c>
      <c r="S478" t="str">
        <f>IF(Table1[[#This Row],[Discount]]=0,"No Discount",IF(Table1[[#This Row],[Discount]]&lt;=0.2,"low",IF(Table1[[#This Row],[Discount]]&lt;=0.3,"medium","high")))</f>
        <v>low</v>
      </c>
      <c r="T478" s="15" t="str">
        <f>IF(Table1[[#This Row],[Days]]&lt;=2,"faster",IF(Table1[[#This Row],[Days]]&lt;=4,"Normal","slow"))</f>
        <v>Normal</v>
      </c>
    </row>
    <row r="479" spans="1:20" x14ac:dyDescent="0.25">
      <c r="A479" s="4" t="s">
        <v>512</v>
      </c>
      <c r="B479" s="1">
        <v>45223</v>
      </c>
      <c r="C479" s="1">
        <v>45224</v>
      </c>
      <c r="D479" s="13">
        <f>Table1[[#This Row],[Shipped date]]-Table1[[#This Row],[Order Date]]</f>
        <v>1</v>
      </c>
      <c r="E479" t="s">
        <v>25</v>
      </c>
      <c r="F479" s="13" t="str">
        <f>TEXT(Table1[[#This Row],[Order Date]],"MMMM")</f>
        <v>October</v>
      </c>
      <c r="G479" s="13">
        <f t="shared" si="14"/>
        <v>2023</v>
      </c>
      <c r="H479" s="13" t="str">
        <f t="shared" si="15"/>
        <v>Q4</v>
      </c>
      <c r="I479" s="1" t="s">
        <v>20</v>
      </c>
      <c r="J479" s="7" t="s">
        <v>15</v>
      </c>
      <c r="K479" s="7" t="s">
        <v>29</v>
      </c>
      <c r="L479" t="s">
        <v>30</v>
      </c>
      <c r="M479" s="9">
        <v>76.760000000000005</v>
      </c>
      <c r="N479" s="4">
        <v>1</v>
      </c>
      <c r="O479" s="12">
        <v>0.3</v>
      </c>
      <c r="P479" s="9">
        <v>-32.15</v>
      </c>
      <c r="Q479" s="10">
        <f>Table1[[#This Row],[Profit]]/Table1[[#This Row],[Sales]]</f>
        <v>-0.41883793642522144</v>
      </c>
      <c r="R479" t="str">
        <f>IF(Table1[[#This Row],[Profit Margin]]&gt;0,"profit","loss")</f>
        <v>loss</v>
      </c>
      <c r="S479" t="str">
        <f>IF(Table1[[#This Row],[Discount]]=0,"No Discount",IF(Table1[[#This Row],[Discount]]&lt;=0.2,"low",IF(Table1[[#This Row],[Discount]]&lt;=0.3,"medium","high")))</f>
        <v>medium</v>
      </c>
      <c r="T479" s="15" t="str">
        <f>IF(Table1[[#This Row],[Days]]&lt;=2,"faster",IF(Table1[[#This Row],[Days]]&lt;=4,"Normal","slow"))</f>
        <v>faster</v>
      </c>
    </row>
    <row r="480" spans="1:20" x14ac:dyDescent="0.25">
      <c r="A480" s="4" t="s">
        <v>513</v>
      </c>
      <c r="B480" s="1">
        <v>45185</v>
      </c>
      <c r="C480" s="1">
        <v>45192</v>
      </c>
      <c r="D480" s="13">
        <f>Table1[[#This Row],[Shipped date]]-Table1[[#This Row],[Order Date]]</f>
        <v>7</v>
      </c>
      <c r="E480" t="s">
        <v>19</v>
      </c>
      <c r="F480" s="13" t="str">
        <f>TEXT(Table1[[#This Row],[Order Date]],"MMMM")</f>
        <v>September</v>
      </c>
      <c r="G480" s="13">
        <f t="shared" si="14"/>
        <v>2023</v>
      </c>
      <c r="H480" s="13" t="str">
        <f t="shared" si="15"/>
        <v>Q3</v>
      </c>
      <c r="I480" s="1" t="s">
        <v>14</v>
      </c>
      <c r="J480" s="7" t="s">
        <v>26</v>
      </c>
      <c r="K480" s="7" t="s">
        <v>29</v>
      </c>
      <c r="L480" t="s">
        <v>43</v>
      </c>
      <c r="M480" s="9">
        <v>874.11</v>
      </c>
      <c r="N480" s="4">
        <v>9</v>
      </c>
      <c r="O480" s="12">
        <v>0.3</v>
      </c>
      <c r="P480" s="9">
        <v>-147.5</v>
      </c>
      <c r="Q480" s="10">
        <f>Table1[[#This Row],[Profit]]/Table1[[#This Row],[Sales]]</f>
        <v>-0.16874306437404904</v>
      </c>
      <c r="R480" t="str">
        <f>IF(Table1[[#This Row],[Profit Margin]]&gt;0,"profit","loss")</f>
        <v>loss</v>
      </c>
      <c r="S480" t="str">
        <f>IF(Table1[[#This Row],[Discount]]=0,"No Discount",IF(Table1[[#This Row],[Discount]]&lt;=0.2,"low",IF(Table1[[#This Row],[Discount]]&lt;=0.3,"medium","high")))</f>
        <v>medium</v>
      </c>
      <c r="T480" s="15" t="str">
        <f>IF(Table1[[#This Row],[Days]]&lt;=2,"faster",IF(Table1[[#This Row],[Days]]&lt;=4,"Normal","slow"))</f>
        <v>slow</v>
      </c>
    </row>
    <row r="481" spans="1:20" x14ac:dyDescent="0.25">
      <c r="A481" s="4" t="s">
        <v>514</v>
      </c>
      <c r="B481" s="1">
        <v>44959</v>
      </c>
      <c r="C481" s="1">
        <v>44964</v>
      </c>
      <c r="D481" s="13">
        <f>Table1[[#This Row],[Shipped date]]-Table1[[#This Row],[Order Date]]</f>
        <v>5</v>
      </c>
      <c r="E481" t="s">
        <v>19</v>
      </c>
      <c r="F481" s="13" t="str">
        <f>TEXT(Table1[[#This Row],[Order Date]],"MMMM")</f>
        <v>February</v>
      </c>
      <c r="G481" s="13">
        <f t="shared" si="14"/>
        <v>2023</v>
      </c>
      <c r="H481" s="13" t="str">
        <f t="shared" si="15"/>
        <v>Q1</v>
      </c>
      <c r="I481" s="1" t="s">
        <v>37</v>
      </c>
      <c r="J481" s="7" t="s">
        <v>32</v>
      </c>
      <c r="K481" s="7" t="s">
        <v>16</v>
      </c>
      <c r="L481" t="s">
        <v>33</v>
      </c>
      <c r="M481" s="9">
        <v>457.04</v>
      </c>
      <c r="N481" s="4">
        <v>8</v>
      </c>
      <c r="O481" s="12">
        <v>0.2</v>
      </c>
      <c r="P481" s="9">
        <v>-56.6</v>
      </c>
      <c r="Q481" s="10">
        <f>Table1[[#This Row],[Profit]]/Table1[[#This Row],[Sales]]</f>
        <v>-0.12384036408191842</v>
      </c>
      <c r="R481" t="str">
        <f>IF(Table1[[#This Row],[Profit Margin]]&gt;0,"profit","loss")</f>
        <v>loss</v>
      </c>
      <c r="S481" t="str">
        <f>IF(Table1[[#This Row],[Discount]]=0,"No Discount",IF(Table1[[#This Row],[Discount]]&lt;=0.2,"low",IF(Table1[[#This Row],[Discount]]&lt;=0.3,"medium","high")))</f>
        <v>low</v>
      </c>
      <c r="T481" s="15" t="str">
        <f>IF(Table1[[#This Row],[Days]]&lt;=2,"faster",IF(Table1[[#This Row],[Days]]&lt;=4,"Normal","slow"))</f>
        <v>slow</v>
      </c>
    </row>
    <row r="482" spans="1:20" x14ac:dyDescent="0.25">
      <c r="A482" s="4" t="s">
        <v>515</v>
      </c>
      <c r="B482" s="1">
        <v>44934</v>
      </c>
      <c r="C482" s="1">
        <v>44936</v>
      </c>
      <c r="D482" s="13">
        <f>Table1[[#This Row],[Shipped date]]-Table1[[#This Row],[Order Date]]</f>
        <v>2</v>
      </c>
      <c r="E482" t="s">
        <v>28</v>
      </c>
      <c r="F482" s="13" t="str">
        <f>TEXT(Table1[[#This Row],[Order Date]],"MMMM")</f>
        <v>January</v>
      </c>
      <c r="G482" s="13">
        <f t="shared" si="14"/>
        <v>2023</v>
      </c>
      <c r="H482" s="13" t="str">
        <f t="shared" si="15"/>
        <v>Q1</v>
      </c>
      <c r="I482" s="1" t="s">
        <v>14</v>
      </c>
      <c r="J482" s="7" t="s">
        <v>15</v>
      </c>
      <c r="K482" s="7" t="s">
        <v>29</v>
      </c>
      <c r="L482" t="s">
        <v>43</v>
      </c>
      <c r="M482" s="9">
        <v>763.1</v>
      </c>
      <c r="N482" s="4">
        <v>10</v>
      </c>
      <c r="O482" s="12">
        <v>0.2</v>
      </c>
      <c r="P482" s="9">
        <v>-91.72</v>
      </c>
      <c r="Q482" s="10">
        <f>Table1[[#This Row],[Profit]]/Table1[[#This Row],[Sales]]</f>
        <v>-0.12019394574760843</v>
      </c>
      <c r="R482" t="str">
        <f>IF(Table1[[#This Row],[Profit Margin]]&gt;0,"profit","loss")</f>
        <v>loss</v>
      </c>
      <c r="S482" t="str">
        <f>IF(Table1[[#This Row],[Discount]]=0,"No Discount",IF(Table1[[#This Row],[Discount]]&lt;=0.2,"low",IF(Table1[[#This Row],[Discount]]&lt;=0.3,"medium","high")))</f>
        <v>low</v>
      </c>
      <c r="T482" s="15" t="str">
        <f>IF(Table1[[#This Row],[Days]]&lt;=2,"faster",IF(Table1[[#This Row],[Days]]&lt;=4,"Normal","slow"))</f>
        <v>faster</v>
      </c>
    </row>
    <row r="483" spans="1:20" x14ac:dyDescent="0.25">
      <c r="A483" s="4" t="s">
        <v>516</v>
      </c>
      <c r="B483" s="1">
        <v>45061</v>
      </c>
      <c r="C483" s="1">
        <v>45067</v>
      </c>
      <c r="D483" s="13">
        <f>Table1[[#This Row],[Shipped date]]-Table1[[#This Row],[Order Date]]</f>
        <v>6</v>
      </c>
      <c r="E483" t="s">
        <v>28</v>
      </c>
      <c r="F483" s="13" t="str">
        <f>TEXT(Table1[[#This Row],[Order Date]],"MMMM")</f>
        <v>May</v>
      </c>
      <c r="G483" s="13">
        <f t="shared" si="14"/>
        <v>2023</v>
      </c>
      <c r="H483" s="13" t="str">
        <f t="shared" si="15"/>
        <v>Q2</v>
      </c>
      <c r="I483" s="1" t="s">
        <v>20</v>
      </c>
      <c r="J483" s="7" t="s">
        <v>21</v>
      </c>
      <c r="K483" s="7" t="s">
        <v>22</v>
      </c>
      <c r="L483" t="s">
        <v>40</v>
      </c>
      <c r="M483" s="9">
        <v>825.08</v>
      </c>
      <c r="N483" s="4">
        <v>6</v>
      </c>
      <c r="O483" s="12">
        <v>0.2</v>
      </c>
      <c r="P483" s="9">
        <v>-68.3</v>
      </c>
      <c r="Q483" s="10">
        <f>Table1[[#This Row],[Profit]]/Table1[[#This Row],[Sales]]</f>
        <v>-8.2779851650749012E-2</v>
      </c>
      <c r="R483" t="str">
        <f>IF(Table1[[#This Row],[Profit Margin]]&gt;0,"profit","loss")</f>
        <v>loss</v>
      </c>
      <c r="S483" t="str">
        <f>IF(Table1[[#This Row],[Discount]]=0,"No Discount",IF(Table1[[#This Row],[Discount]]&lt;=0.2,"low",IF(Table1[[#This Row],[Discount]]&lt;=0.3,"medium","high")))</f>
        <v>low</v>
      </c>
      <c r="T483" s="15" t="str">
        <f>IF(Table1[[#This Row],[Days]]&lt;=2,"faster",IF(Table1[[#This Row],[Days]]&lt;=4,"Normal","slow"))</f>
        <v>slow</v>
      </c>
    </row>
    <row r="484" spans="1:20" x14ac:dyDescent="0.25">
      <c r="A484" s="4" t="s">
        <v>517</v>
      </c>
      <c r="B484" s="1">
        <v>45149</v>
      </c>
      <c r="C484" s="1">
        <v>45153</v>
      </c>
      <c r="D484" s="13">
        <f>Table1[[#This Row],[Shipped date]]-Table1[[#This Row],[Order Date]]</f>
        <v>4</v>
      </c>
      <c r="E484" t="s">
        <v>19</v>
      </c>
      <c r="F484" s="13" t="str">
        <f>TEXT(Table1[[#This Row],[Order Date]],"MMMM")</f>
        <v>August</v>
      </c>
      <c r="G484" s="13">
        <f t="shared" si="14"/>
        <v>2023</v>
      </c>
      <c r="H484" s="13" t="str">
        <f t="shared" si="15"/>
        <v>Q3</v>
      </c>
      <c r="I484" s="1" t="s">
        <v>14</v>
      </c>
      <c r="J484" s="7" t="s">
        <v>26</v>
      </c>
      <c r="K484" s="7" t="s">
        <v>22</v>
      </c>
      <c r="L484" t="s">
        <v>23</v>
      </c>
      <c r="M484" s="9">
        <v>775</v>
      </c>
      <c r="N484" s="4">
        <v>8</v>
      </c>
      <c r="O484" s="12">
        <v>0.1</v>
      </c>
      <c r="P484" s="9">
        <v>-19.93</v>
      </c>
      <c r="Q484" s="10">
        <f>Table1[[#This Row],[Profit]]/Table1[[#This Row],[Sales]]</f>
        <v>-2.5716129032258065E-2</v>
      </c>
      <c r="R484" t="str">
        <f>IF(Table1[[#This Row],[Profit Margin]]&gt;0,"profit","loss")</f>
        <v>loss</v>
      </c>
      <c r="S484" t="str">
        <f>IF(Table1[[#This Row],[Discount]]=0,"No Discount",IF(Table1[[#This Row],[Discount]]&lt;=0.2,"low",IF(Table1[[#This Row],[Discount]]&lt;=0.3,"medium","high")))</f>
        <v>low</v>
      </c>
      <c r="T484" s="15" t="str">
        <f>IF(Table1[[#This Row],[Days]]&lt;=2,"faster",IF(Table1[[#This Row],[Days]]&lt;=4,"Normal","slow"))</f>
        <v>Normal</v>
      </c>
    </row>
    <row r="485" spans="1:20" x14ac:dyDescent="0.25">
      <c r="A485" s="4" t="s">
        <v>518</v>
      </c>
      <c r="B485" s="1">
        <v>45113</v>
      </c>
      <c r="C485" s="1">
        <v>45118</v>
      </c>
      <c r="D485" s="13">
        <f>Table1[[#This Row],[Shipped date]]-Table1[[#This Row],[Order Date]]</f>
        <v>5</v>
      </c>
      <c r="E485" t="s">
        <v>19</v>
      </c>
      <c r="F485" s="13" t="str">
        <f>TEXT(Table1[[#This Row],[Order Date]],"MMMM")</f>
        <v>July</v>
      </c>
      <c r="G485" s="13">
        <f t="shared" si="14"/>
        <v>2023</v>
      </c>
      <c r="H485" s="13" t="str">
        <f t="shared" si="15"/>
        <v>Q3</v>
      </c>
      <c r="I485" s="1" t="s">
        <v>37</v>
      </c>
      <c r="J485" s="7" t="s">
        <v>26</v>
      </c>
      <c r="K485" s="7" t="s">
        <v>16</v>
      </c>
      <c r="L485" t="s">
        <v>17</v>
      </c>
      <c r="M485" s="9">
        <v>175.76</v>
      </c>
      <c r="N485" s="4">
        <v>7</v>
      </c>
      <c r="O485" s="12">
        <v>0.1</v>
      </c>
      <c r="P485" s="9">
        <v>49.8</v>
      </c>
      <c r="Q485" s="10">
        <f>Table1[[#This Row],[Profit]]/Table1[[#This Row],[Sales]]</f>
        <v>0.28334091943559397</v>
      </c>
      <c r="R485" t="str">
        <f>IF(Table1[[#This Row],[Profit Margin]]&gt;0,"profit","loss")</f>
        <v>profit</v>
      </c>
      <c r="S485" t="str">
        <f>IF(Table1[[#This Row],[Discount]]=0,"No Discount",IF(Table1[[#This Row],[Discount]]&lt;=0.2,"low",IF(Table1[[#This Row],[Discount]]&lt;=0.3,"medium","high")))</f>
        <v>low</v>
      </c>
      <c r="T485" s="15" t="str">
        <f>IF(Table1[[#This Row],[Days]]&lt;=2,"faster",IF(Table1[[#This Row],[Days]]&lt;=4,"Normal","slow"))</f>
        <v>slow</v>
      </c>
    </row>
    <row r="486" spans="1:20" x14ac:dyDescent="0.25">
      <c r="A486" s="4" t="s">
        <v>519</v>
      </c>
      <c r="B486" s="1">
        <v>44983</v>
      </c>
      <c r="C486" s="1">
        <v>44988</v>
      </c>
      <c r="D486" s="13">
        <f>Table1[[#This Row],[Shipped date]]-Table1[[#This Row],[Order Date]]</f>
        <v>5</v>
      </c>
      <c r="E486" t="s">
        <v>28</v>
      </c>
      <c r="F486" s="13" t="str">
        <f>TEXT(Table1[[#This Row],[Order Date]],"MMMM")</f>
        <v>February</v>
      </c>
      <c r="G486" s="13">
        <f t="shared" si="14"/>
        <v>2023</v>
      </c>
      <c r="H486" s="13" t="str">
        <f t="shared" si="15"/>
        <v>Q1</v>
      </c>
      <c r="I486" s="1" t="s">
        <v>20</v>
      </c>
      <c r="J486" s="7" t="s">
        <v>32</v>
      </c>
      <c r="K486" s="7" t="s">
        <v>29</v>
      </c>
      <c r="L486" t="s">
        <v>45</v>
      </c>
      <c r="M486" s="9">
        <v>437.66</v>
      </c>
      <c r="N486" s="4">
        <v>7</v>
      </c>
      <c r="O486" s="12">
        <v>0</v>
      </c>
      <c r="P486" s="9">
        <v>83.56</v>
      </c>
      <c r="Q486" s="10">
        <f>Table1[[#This Row],[Profit]]/Table1[[#This Row],[Sales]]</f>
        <v>0.19092446191107251</v>
      </c>
      <c r="R486" t="str">
        <f>IF(Table1[[#This Row],[Profit Margin]]&gt;0,"profit","loss")</f>
        <v>profit</v>
      </c>
      <c r="S486" t="str">
        <f>IF(Table1[[#This Row],[Discount]]=0,"No Discount",IF(Table1[[#This Row],[Discount]]&lt;=0.2,"low",IF(Table1[[#This Row],[Discount]]&lt;=0.3,"medium","high")))</f>
        <v>No Discount</v>
      </c>
      <c r="T486" s="15" t="str">
        <f>IF(Table1[[#This Row],[Days]]&lt;=2,"faster",IF(Table1[[#This Row],[Days]]&lt;=4,"Normal","slow"))</f>
        <v>slow</v>
      </c>
    </row>
    <row r="487" spans="1:20" x14ac:dyDescent="0.25">
      <c r="A487" s="4" t="s">
        <v>520</v>
      </c>
      <c r="B487" s="1">
        <v>45190</v>
      </c>
      <c r="C487" s="1">
        <v>45191</v>
      </c>
      <c r="D487" s="13">
        <f>Table1[[#This Row],[Shipped date]]-Table1[[#This Row],[Order Date]]</f>
        <v>1</v>
      </c>
      <c r="E487" t="s">
        <v>28</v>
      </c>
      <c r="F487" s="13" t="str">
        <f>TEXT(Table1[[#This Row],[Order Date]],"MMMM")</f>
        <v>September</v>
      </c>
      <c r="G487" s="13">
        <f t="shared" si="14"/>
        <v>2023</v>
      </c>
      <c r="H487" s="13" t="str">
        <f t="shared" si="15"/>
        <v>Q3</v>
      </c>
      <c r="I487" s="1" t="s">
        <v>14</v>
      </c>
      <c r="J487" s="7" t="s">
        <v>21</v>
      </c>
      <c r="K487" s="7" t="s">
        <v>22</v>
      </c>
      <c r="L487" t="s">
        <v>40</v>
      </c>
      <c r="M487" s="9">
        <v>536.48</v>
      </c>
      <c r="N487" s="4">
        <v>5</v>
      </c>
      <c r="O487" s="12">
        <v>0</v>
      </c>
      <c r="P487" s="9">
        <v>82.21</v>
      </c>
      <c r="Q487" s="10">
        <f>Table1[[#This Row],[Profit]]/Table1[[#This Row],[Sales]]</f>
        <v>0.15323963614673425</v>
      </c>
      <c r="R487" t="str">
        <f>IF(Table1[[#This Row],[Profit Margin]]&gt;0,"profit","loss")</f>
        <v>profit</v>
      </c>
      <c r="S487" t="str">
        <f>IF(Table1[[#This Row],[Discount]]=0,"No Discount",IF(Table1[[#This Row],[Discount]]&lt;=0.2,"low",IF(Table1[[#This Row],[Discount]]&lt;=0.3,"medium","high")))</f>
        <v>No Discount</v>
      </c>
      <c r="T487" s="15" t="str">
        <f>IF(Table1[[#This Row],[Days]]&lt;=2,"faster",IF(Table1[[#This Row],[Days]]&lt;=4,"Normal","slow"))</f>
        <v>faster</v>
      </c>
    </row>
    <row r="488" spans="1:20" x14ac:dyDescent="0.25">
      <c r="A488" s="4" t="s">
        <v>521</v>
      </c>
      <c r="B488" s="1">
        <v>44992</v>
      </c>
      <c r="C488" s="1">
        <v>44999</v>
      </c>
      <c r="D488" s="13">
        <f>Table1[[#This Row],[Shipped date]]-Table1[[#This Row],[Order Date]]</f>
        <v>7</v>
      </c>
      <c r="E488" t="s">
        <v>19</v>
      </c>
      <c r="F488" s="13" t="str">
        <f>TEXT(Table1[[#This Row],[Order Date]],"MMMM")</f>
        <v>March</v>
      </c>
      <c r="G488" s="13">
        <f t="shared" si="14"/>
        <v>2023</v>
      </c>
      <c r="H488" s="13" t="str">
        <f t="shared" si="15"/>
        <v>Q1</v>
      </c>
      <c r="I488" s="1" t="s">
        <v>37</v>
      </c>
      <c r="J488" s="7" t="s">
        <v>26</v>
      </c>
      <c r="K488" s="7" t="s">
        <v>16</v>
      </c>
      <c r="L488" t="s">
        <v>17</v>
      </c>
      <c r="M488" s="9">
        <v>236.35</v>
      </c>
      <c r="N488" s="4">
        <v>5</v>
      </c>
      <c r="O488" s="12">
        <v>0.1</v>
      </c>
      <c r="P488" s="9">
        <v>34.1</v>
      </c>
      <c r="Q488" s="10">
        <f>Table1[[#This Row],[Profit]]/Table1[[#This Row],[Sales]]</f>
        <v>0.1442775544742966</v>
      </c>
      <c r="R488" t="str">
        <f>IF(Table1[[#This Row],[Profit Margin]]&gt;0,"profit","loss")</f>
        <v>profit</v>
      </c>
      <c r="S488" t="str">
        <f>IF(Table1[[#This Row],[Discount]]=0,"No Discount",IF(Table1[[#This Row],[Discount]]&lt;=0.2,"low",IF(Table1[[#This Row],[Discount]]&lt;=0.3,"medium","high")))</f>
        <v>low</v>
      </c>
      <c r="T488" s="15" t="str">
        <f>IF(Table1[[#This Row],[Days]]&lt;=2,"faster",IF(Table1[[#This Row],[Days]]&lt;=4,"Normal","slow"))</f>
        <v>slow</v>
      </c>
    </row>
    <row r="489" spans="1:20" x14ac:dyDescent="0.25">
      <c r="A489" s="4" t="s">
        <v>522</v>
      </c>
      <c r="B489" s="1">
        <v>44963</v>
      </c>
      <c r="C489" s="1">
        <v>44966</v>
      </c>
      <c r="D489" s="13">
        <f>Table1[[#This Row],[Shipped date]]-Table1[[#This Row],[Order Date]]</f>
        <v>3</v>
      </c>
      <c r="E489" t="s">
        <v>19</v>
      </c>
      <c r="F489" s="13" t="str">
        <f>TEXT(Table1[[#This Row],[Order Date]],"MMMM")</f>
        <v>February</v>
      </c>
      <c r="G489" s="13">
        <f t="shared" si="14"/>
        <v>2023</v>
      </c>
      <c r="H489" s="13" t="str">
        <f t="shared" si="15"/>
        <v>Q1</v>
      </c>
      <c r="I489" s="1" t="s">
        <v>14</v>
      </c>
      <c r="J489" s="7" t="s">
        <v>21</v>
      </c>
      <c r="K489" s="7" t="s">
        <v>16</v>
      </c>
      <c r="L489" t="s">
        <v>33</v>
      </c>
      <c r="M489" s="9">
        <v>245.45</v>
      </c>
      <c r="N489" s="4">
        <v>6</v>
      </c>
      <c r="O489" s="12">
        <v>0.2</v>
      </c>
      <c r="P489" s="9">
        <v>-25.42</v>
      </c>
      <c r="Q489" s="10">
        <f>Table1[[#This Row],[Profit]]/Table1[[#This Row],[Sales]]</f>
        <v>-0.10356488083112651</v>
      </c>
      <c r="R489" t="str">
        <f>IF(Table1[[#This Row],[Profit Margin]]&gt;0,"profit","loss")</f>
        <v>loss</v>
      </c>
      <c r="S489" t="str">
        <f>IF(Table1[[#This Row],[Discount]]=0,"No Discount",IF(Table1[[#This Row],[Discount]]&lt;=0.2,"low",IF(Table1[[#This Row],[Discount]]&lt;=0.3,"medium","high")))</f>
        <v>low</v>
      </c>
      <c r="T489" s="15" t="str">
        <f>IF(Table1[[#This Row],[Days]]&lt;=2,"faster",IF(Table1[[#This Row],[Days]]&lt;=4,"Normal","slow"))</f>
        <v>Normal</v>
      </c>
    </row>
    <row r="490" spans="1:20" x14ac:dyDescent="0.25">
      <c r="A490" s="4" t="s">
        <v>523</v>
      </c>
      <c r="B490" s="1">
        <v>45101</v>
      </c>
      <c r="C490" s="1">
        <v>45103</v>
      </c>
      <c r="D490" s="13">
        <f>Table1[[#This Row],[Shipped date]]-Table1[[#This Row],[Order Date]]</f>
        <v>2</v>
      </c>
      <c r="E490" t="s">
        <v>13</v>
      </c>
      <c r="F490" s="13" t="str">
        <f>TEXT(Table1[[#This Row],[Order Date]],"MMMM")</f>
        <v>June</v>
      </c>
      <c r="G490" s="13">
        <f t="shared" si="14"/>
        <v>2023</v>
      </c>
      <c r="H490" s="13" t="str">
        <f t="shared" si="15"/>
        <v>Q2</v>
      </c>
      <c r="I490" s="1" t="s">
        <v>14</v>
      </c>
      <c r="J490" s="7" t="s">
        <v>32</v>
      </c>
      <c r="K490" s="7" t="s">
        <v>29</v>
      </c>
      <c r="L490" t="s">
        <v>45</v>
      </c>
      <c r="M490" s="9">
        <v>951.85</v>
      </c>
      <c r="N490" s="4">
        <v>7</v>
      </c>
      <c r="O490" s="12">
        <v>0.3</v>
      </c>
      <c r="P490" s="9">
        <v>-208.18</v>
      </c>
      <c r="Q490" s="10">
        <f>Table1[[#This Row],[Profit]]/Table1[[#This Row],[Sales]]</f>
        <v>-0.2187109313442244</v>
      </c>
      <c r="R490" t="str">
        <f>IF(Table1[[#This Row],[Profit Margin]]&gt;0,"profit","loss")</f>
        <v>loss</v>
      </c>
      <c r="S490" t="str">
        <f>IF(Table1[[#This Row],[Discount]]=0,"No Discount",IF(Table1[[#This Row],[Discount]]&lt;=0.2,"low",IF(Table1[[#This Row],[Discount]]&lt;=0.3,"medium","high")))</f>
        <v>medium</v>
      </c>
      <c r="T490" s="15" t="str">
        <f>IF(Table1[[#This Row],[Days]]&lt;=2,"faster",IF(Table1[[#This Row],[Days]]&lt;=4,"Normal","slow"))</f>
        <v>faster</v>
      </c>
    </row>
    <row r="491" spans="1:20" x14ac:dyDescent="0.25">
      <c r="A491" s="4" t="s">
        <v>524</v>
      </c>
      <c r="B491" s="1">
        <v>45063</v>
      </c>
      <c r="C491" s="1">
        <v>45065</v>
      </c>
      <c r="D491" s="13">
        <f>Table1[[#This Row],[Shipped date]]-Table1[[#This Row],[Order Date]]</f>
        <v>2</v>
      </c>
      <c r="E491" t="s">
        <v>25</v>
      </c>
      <c r="F491" s="13" t="str">
        <f>TEXT(Table1[[#This Row],[Order Date]],"MMMM")</f>
        <v>May</v>
      </c>
      <c r="G491" s="13">
        <f t="shared" si="14"/>
        <v>2023</v>
      </c>
      <c r="H491" s="13" t="str">
        <f t="shared" si="15"/>
        <v>Q2</v>
      </c>
      <c r="I491" s="1" t="s">
        <v>20</v>
      </c>
      <c r="J491" s="7" t="s">
        <v>32</v>
      </c>
      <c r="K491" s="7" t="s">
        <v>16</v>
      </c>
      <c r="L491" t="s">
        <v>17</v>
      </c>
      <c r="M491" s="9">
        <v>736.64</v>
      </c>
      <c r="N491" s="4">
        <v>8</v>
      </c>
      <c r="O491" s="12">
        <v>0.2</v>
      </c>
      <c r="P491" s="9">
        <v>-64.28</v>
      </c>
      <c r="Q491" s="10">
        <f>Table1[[#This Row],[Profit]]/Table1[[#This Row],[Sales]]</f>
        <v>-8.726107732406603E-2</v>
      </c>
      <c r="R491" t="str">
        <f>IF(Table1[[#This Row],[Profit Margin]]&gt;0,"profit","loss")</f>
        <v>loss</v>
      </c>
      <c r="S491" t="str">
        <f>IF(Table1[[#This Row],[Discount]]=0,"No Discount",IF(Table1[[#This Row],[Discount]]&lt;=0.2,"low",IF(Table1[[#This Row],[Discount]]&lt;=0.3,"medium","high")))</f>
        <v>low</v>
      </c>
      <c r="T491" s="15" t="str">
        <f>IF(Table1[[#This Row],[Days]]&lt;=2,"faster",IF(Table1[[#This Row],[Days]]&lt;=4,"Normal","slow"))</f>
        <v>faster</v>
      </c>
    </row>
    <row r="492" spans="1:20" x14ac:dyDescent="0.25">
      <c r="A492" s="4" t="s">
        <v>525</v>
      </c>
      <c r="B492" s="1">
        <v>45247</v>
      </c>
      <c r="C492" s="1">
        <v>45251</v>
      </c>
      <c r="D492" s="13">
        <f>Table1[[#This Row],[Shipped date]]-Table1[[#This Row],[Order Date]]</f>
        <v>4</v>
      </c>
      <c r="E492" t="s">
        <v>19</v>
      </c>
      <c r="F492" s="13" t="str">
        <f>TEXT(Table1[[#This Row],[Order Date]],"MMMM")</f>
        <v>November</v>
      </c>
      <c r="G492" s="13">
        <f t="shared" si="14"/>
        <v>2023</v>
      </c>
      <c r="H492" s="13" t="str">
        <f t="shared" si="15"/>
        <v>Q4</v>
      </c>
      <c r="I492" s="1" t="s">
        <v>37</v>
      </c>
      <c r="J492" s="7" t="s">
        <v>32</v>
      </c>
      <c r="K492" s="7" t="s">
        <v>22</v>
      </c>
      <c r="L492" t="s">
        <v>23</v>
      </c>
      <c r="M492" s="9">
        <v>645.76</v>
      </c>
      <c r="N492" s="4">
        <v>6</v>
      </c>
      <c r="O492" s="12">
        <v>0.1</v>
      </c>
      <c r="P492" s="9">
        <v>33.21</v>
      </c>
      <c r="Q492" s="10">
        <f>Table1[[#This Row],[Profit]]/Table1[[#This Row],[Sales]]</f>
        <v>5.1427775024777009E-2</v>
      </c>
      <c r="R492" t="str">
        <f>IF(Table1[[#This Row],[Profit Margin]]&gt;0,"profit","loss")</f>
        <v>profit</v>
      </c>
      <c r="S492" t="str">
        <f>IF(Table1[[#This Row],[Discount]]=0,"No Discount",IF(Table1[[#This Row],[Discount]]&lt;=0.2,"low",IF(Table1[[#This Row],[Discount]]&lt;=0.3,"medium","high")))</f>
        <v>low</v>
      </c>
      <c r="T492" s="15" t="str">
        <f>IF(Table1[[#This Row],[Days]]&lt;=2,"faster",IF(Table1[[#This Row],[Days]]&lt;=4,"Normal","slow"))</f>
        <v>Normal</v>
      </c>
    </row>
    <row r="493" spans="1:20" x14ac:dyDescent="0.25">
      <c r="A493" s="4" t="s">
        <v>526</v>
      </c>
      <c r="B493" s="1">
        <v>45144</v>
      </c>
      <c r="C493" s="1">
        <v>45148</v>
      </c>
      <c r="D493" s="13">
        <f>Table1[[#This Row],[Shipped date]]-Table1[[#This Row],[Order Date]]</f>
        <v>4</v>
      </c>
      <c r="E493" t="s">
        <v>19</v>
      </c>
      <c r="F493" s="13" t="str">
        <f>TEXT(Table1[[#This Row],[Order Date]],"MMMM")</f>
        <v>August</v>
      </c>
      <c r="G493" s="13">
        <f t="shared" si="14"/>
        <v>2023</v>
      </c>
      <c r="H493" s="13" t="str">
        <f t="shared" si="15"/>
        <v>Q3</v>
      </c>
      <c r="I493" s="1" t="s">
        <v>20</v>
      </c>
      <c r="J493" s="7" t="s">
        <v>32</v>
      </c>
      <c r="K493" s="7" t="s">
        <v>16</v>
      </c>
      <c r="L493" t="s">
        <v>33</v>
      </c>
      <c r="M493" s="9">
        <v>453.45</v>
      </c>
      <c r="N493" s="4">
        <v>7</v>
      </c>
      <c r="O493" s="12">
        <v>0.2</v>
      </c>
      <c r="P493" s="9">
        <v>-36.69</v>
      </c>
      <c r="Q493" s="10">
        <f>Table1[[#This Row],[Profit]]/Table1[[#This Row],[Sales]]</f>
        <v>-8.0913000330797222E-2</v>
      </c>
      <c r="R493" t="str">
        <f>IF(Table1[[#This Row],[Profit Margin]]&gt;0,"profit","loss")</f>
        <v>loss</v>
      </c>
      <c r="S493" t="str">
        <f>IF(Table1[[#This Row],[Discount]]=0,"No Discount",IF(Table1[[#This Row],[Discount]]&lt;=0.2,"low",IF(Table1[[#This Row],[Discount]]&lt;=0.3,"medium","high")))</f>
        <v>low</v>
      </c>
      <c r="T493" s="15" t="str">
        <f>IF(Table1[[#This Row],[Days]]&lt;=2,"faster",IF(Table1[[#This Row],[Days]]&lt;=4,"Normal","slow"))</f>
        <v>Normal</v>
      </c>
    </row>
    <row r="494" spans="1:20" x14ac:dyDescent="0.25">
      <c r="A494" s="4" t="s">
        <v>527</v>
      </c>
      <c r="B494" s="1">
        <v>45183</v>
      </c>
      <c r="C494" s="1">
        <v>45186</v>
      </c>
      <c r="D494" s="13">
        <f>Table1[[#This Row],[Shipped date]]-Table1[[#This Row],[Order Date]]</f>
        <v>3</v>
      </c>
      <c r="E494" t="s">
        <v>25</v>
      </c>
      <c r="F494" s="13" t="str">
        <f>TEXT(Table1[[#This Row],[Order Date]],"MMMM")</f>
        <v>September</v>
      </c>
      <c r="G494" s="13">
        <f t="shared" si="14"/>
        <v>2023</v>
      </c>
      <c r="H494" s="13" t="str">
        <f t="shared" si="15"/>
        <v>Q3</v>
      </c>
      <c r="I494" s="1" t="s">
        <v>14</v>
      </c>
      <c r="J494" s="7" t="s">
        <v>26</v>
      </c>
      <c r="K494" s="7" t="s">
        <v>29</v>
      </c>
      <c r="L494" t="s">
        <v>30</v>
      </c>
      <c r="M494" s="9">
        <v>896.22</v>
      </c>
      <c r="N494" s="4">
        <v>10</v>
      </c>
      <c r="O494" s="12">
        <v>0.2</v>
      </c>
      <c r="P494" s="9">
        <v>-57.41</v>
      </c>
      <c r="Q494" s="10">
        <f>Table1[[#This Row],[Profit]]/Table1[[#This Row],[Sales]]</f>
        <v>-6.4057932204146295E-2</v>
      </c>
      <c r="R494" t="str">
        <f>IF(Table1[[#This Row],[Profit Margin]]&gt;0,"profit","loss")</f>
        <v>loss</v>
      </c>
      <c r="S494" t="str">
        <f>IF(Table1[[#This Row],[Discount]]=0,"No Discount",IF(Table1[[#This Row],[Discount]]&lt;=0.2,"low",IF(Table1[[#This Row],[Discount]]&lt;=0.3,"medium","high")))</f>
        <v>low</v>
      </c>
      <c r="T494" s="15" t="str">
        <f>IF(Table1[[#This Row],[Days]]&lt;=2,"faster",IF(Table1[[#This Row],[Days]]&lt;=4,"Normal","slow"))</f>
        <v>Normal</v>
      </c>
    </row>
    <row r="495" spans="1:20" x14ac:dyDescent="0.25">
      <c r="A495" s="4" t="s">
        <v>528</v>
      </c>
      <c r="B495" s="1">
        <v>45276</v>
      </c>
      <c r="C495" s="1">
        <v>45279</v>
      </c>
      <c r="D495" s="13">
        <f>Table1[[#This Row],[Shipped date]]-Table1[[#This Row],[Order Date]]</f>
        <v>3</v>
      </c>
      <c r="E495" t="s">
        <v>19</v>
      </c>
      <c r="F495" s="13" t="str">
        <f>TEXT(Table1[[#This Row],[Order Date]],"MMMM")</f>
        <v>December</v>
      </c>
      <c r="G495" s="13">
        <f t="shared" si="14"/>
        <v>2023</v>
      </c>
      <c r="H495" s="13" t="str">
        <f t="shared" si="15"/>
        <v>Q4</v>
      </c>
      <c r="I495" s="1" t="s">
        <v>37</v>
      </c>
      <c r="J495" s="7" t="s">
        <v>32</v>
      </c>
      <c r="K495" s="7" t="s">
        <v>22</v>
      </c>
      <c r="L495" t="s">
        <v>40</v>
      </c>
      <c r="M495" s="9">
        <v>216.35</v>
      </c>
      <c r="N495" s="4">
        <v>3</v>
      </c>
      <c r="O495" s="12">
        <v>0</v>
      </c>
      <c r="P495" s="9">
        <v>47.25</v>
      </c>
      <c r="Q495" s="10">
        <f>Table1[[#This Row],[Profit]]/Table1[[#This Row],[Sales]]</f>
        <v>0.21839611740235729</v>
      </c>
      <c r="R495" t="str">
        <f>IF(Table1[[#This Row],[Profit Margin]]&gt;0,"profit","loss")</f>
        <v>profit</v>
      </c>
      <c r="S495" t="str">
        <f>IF(Table1[[#This Row],[Discount]]=0,"No Discount",IF(Table1[[#This Row],[Discount]]&lt;=0.2,"low",IF(Table1[[#This Row],[Discount]]&lt;=0.3,"medium","high")))</f>
        <v>No Discount</v>
      </c>
      <c r="T495" s="15" t="str">
        <f>IF(Table1[[#This Row],[Days]]&lt;=2,"faster",IF(Table1[[#This Row],[Days]]&lt;=4,"Normal","slow"))</f>
        <v>Normal</v>
      </c>
    </row>
    <row r="496" spans="1:20" x14ac:dyDescent="0.25">
      <c r="A496" s="4" t="s">
        <v>529</v>
      </c>
      <c r="B496" s="1">
        <v>45004</v>
      </c>
      <c r="C496" s="1">
        <v>45009</v>
      </c>
      <c r="D496" s="13">
        <f>Table1[[#This Row],[Shipped date]]-Table1[[#This Row],[Order Date]]</f>
        <v>5</v>
      </c>
      <c r="E496" t="s">
        <v>19</v>
      </c>
      <c r="F496" s="13" t="str">
        <f>TEXT(Table1[[#This Row],[Order Date]],"MMMM")</f>
        <v>March</v>
      </c>
      <c r="G496" s="13">
        <f t="shared" si="14"/>
        <v>2023</v>
      </c>
      <c r="H496" s="13" t="str">
        <f t="shared" si="15"/>
        <v>Q1</v>
      </c>
      <c r="I496" s="1" t="s">
        <v>37</v>
      </c>
      <c r="J496" s="7" t="s">
        <v>21</v>
      </c>
      <c r="K496" s="7" t="s">
        <v>22</v>
      </c>
      <c r="L496" t="s">
        <v>35</v>
      </c>
      <c r="M496" s="9">
        <v>381.16</v>
      </c>
      <c r="N496" s="4">
        <v>7</v>
      </c>
      <c r="O496" s="12">
        <v>0.2</v>
      </c>
      <c r="P496" s="9">
        <v>-25.11</v>
      </c>
      <c r="Q496" s="10">
        <f>Table1[[#This Row],[Profit]]/Table1[[#This Row],[Sales]]</f>
        <v>-6.587784657361738E-2</v>
      </c>
      <c r="R496" t="str">
        <f>IF(Table1[[#This Row],[Profit Margin]]&gt;0,"profit","loss")</f>
        <v>loss</v>
      </c>
      <c r="S496" t="str">
        <f>IF(Table1[[#This Row],[Discount]]=0,"No Discount",IF(Table1[[#This Row],[Discount]]&lt;=0.2,"low",IF(Table1[[#This Row],[Discount]]&lt;=0.3,"medium","high")))</f>
        <v>low</v>
      </c>
      <c r="T496" s="15" t="str">
        <f>IF(Table1[[#This Row],[Days]]&lt;=2,"faster",IF(Table1[[#This Row],[Days]]&lt;=4,"Normal","slow"))</f>
        <v>slow</v>
      </c>
    </row>
    <row r="497" spans="1:20" x14ac:dyDescent="0.25">
      <c r="A497" s="4" t="s">
        <v>530</v>
      </c>
      <c r="B497" s="1">
        <v>45175</v>
      </c>
      <c r="C497" s="1">
        <v>45182</v>
      </c>
      <c r="D497" s="13">
        <f>Table1[[#This Row],[Shipped date]]-Table1[[#This Row],[Order Date]]</f>
        <v>7</v>
      </c>
      <c r="E497" t="s">
        <v>13</v>
      </c>
      <c r="F497" s="13" t="str">
        <f>TEXT(Table1[[#This Row],[Order Date]],"MMMM")</f>
        <v>September</v>
      </c>
      <c r="G497" s="13">
        <f t="shared" si="14"/>
        <v>2023</v>
      </c>
      <c r="H497" s="13" t="str">
        <f t="shared" si="15"/>
        <v>Q3</v>
      </c>
      <c r="I497" s="1" t="s">
        <v>37</v>
      </c>
      <c r="J497" s="7" t="s">
        <v>15</v>
      </c>
      <c r="K497" s="7" t="s">
        <v>22</v>
      </c>
      <c r="L497" t="s">
        <v>23</v>
      </c>
      <c r="M497" s="9">
        <v>552.37</v>
      </c>
      <c r="N497" s="4">
        <v>1</v>
      </c>
      <c r="O497" s="12">
        <v>0.3</v>
      </c>
      <c r="P497" s="9">
        <v>-117.49</v>
      </c>
      <c r="Q497" s="10">
        <f>Table1[[#This Row],[Profit]]/Table1[[#This Row],[Sales]]</f>
        <v>-0.21270163115303148</v>
      </c>
      <c r="R497" t="str">
        <f>IF(Table1[[#This Row],[Profit Margin]]&gt;0,"profit","loss")</f>
        <v>loss</v>
      </c>
      <c r="S497" t="str">
        <f>IF(Table1[[#This Row],[Discount]]=0,"No Discount",IF(Table1[[#This Row],[Discount]]&lt;=0.2,"low",IF(Table1[[#This Row],[Discount]]&lt;=0.3,"medium","high")))</f>
        <v>medium</v>
      </c>
      <c r="T497" s="15" t="str">
        <f>IF(Table1[[#This Row],[Days]]&lt;=2,"faster",IF(Table1[[#This Row],[Days]]&lt;=4,"Normal","slow"))</f>
        <v>slow</v>
      </c>
    </row>
    <row r="498" spans="1:20" x14ac:dyDescent="0.25">
      <c r="A498" s="4" t="s">
        <v>531</v>
      </c>
      <c r="B498" s="1">
        <v>45241</v>
      </c>
      <c r="C498" s="1">
        <v>45245</v>
      </c>
      <c r="D498" s="13">
        <f>Table1[[#This Row],[Shipped date]]-Table1[[#This Row],[Order Date]]</f>
        <v>4</v>
      </c>
      <c r="E498" t="s">
        <v>25</v>
      </c>
      <c r="F498" s="13" t="str">
        <f>TEXT(Table1[[#This Row],[Order Date]],"MMMM")</f>
        <v>November</v>
      </c>
      <c r="G498" s="13">
        <f t="shared" si="14"/>
        <v>2023</v>
      </c>
      <c r="H498" s="13" t="str">
        <f t="shared" si="15"/>
        <v>Q4</v>
      </c>
      <c r="I498" s="1" t="s">
        <v>20</v>
      </c>
      <c r="J498" s="7" t="s">
        <v>32</v>
      </c>
      <c r="K498" s="7" t="s">
        <v>29</v>
      </c>
      <c r="L498" t="s">
        <v>30</v>
      </c>
      <c r="M498" s="9">
        <v>871.25</v>
      </c>
      <c r="N498" s="4">
        <v>9</v>
      </c>
      <c r="O498" s="12">
        <v>0</v>
      </c>
      <c r="P498" s="9">
        <v>77.88</v>
      </c>
      <c r="Q498" s="10">
        <f>Table1[[#This Row],[Profit]]/Table1[[#This Row],[Sales]]</f>
        <v>8.9388809182209469E-2</v>
      </c>
      <c r="R498" t="str">
        <f>IF(Table1[[#This Row],[Profit Margin]]&gt;0,"profit","loss")</f>
        <v>profit</v>
      </c>
      <c r="S498" t="str">
        <f>IF(Table1[[#This Row],[Discount]]=0,"No Discount",IF(Table1[[#This Row],[Discount]]&lt;=0.2,"low",IF(Table1[[#This Row],[Discount]]&lt;=0.3,"medium","high")))</f>
        <v>No Discount</v>
      </c>
      <c r="T498" s="15" t="str">
        <f>IF(Table1[[#This Row],[Days]]&lt;=2,"faster",IF(Table1[[#This Row],[Days]]&lt;=4,"Normal","slow"))</f>
        <v>Normal</v>
      </c>
    </row>
    <row r="499" spans="1:20" x14ac:dyDescent="0.25">
      <c r="A499" s="4" t="s">
        <v>532</v>
      </c>
      <c r="B499" s="1">
        <v>45211</v>
      </c>
      <c r="C499" s="1">
        <v>45217</v>
      </c>
      <c r="D499" s="13">
        <f>Table1[[#This Row],[Shipped date]]-Table1[[#This Row],[Order Date]]</f>
        <v>6</v>
      </c>
      <c r="E499" t="s">
        <v>28</v>
      </c>
      <c r="F499" s="13" t="str">
        <f>TEXT(Table1[[#This Row],[Order Date]],"MMMM")</f>
        <v>October</v>
      </c>
      <c r="G499" s="13">
        <f t="shared" si="14"/>
        <v>2023</v>
      </c>
      <c r="H499" s="13" t="str">
        <f t="shared" si="15"/>
        <v>Q4</v>
      </c>
      <c r="I499" s="1" t="s">
        <v>37</v>
      </c>
      <c r="J499" s="7" t="s">
        <v>26</v>
      </c>
      <c r="K499" s="7" t="s">
        <v>16</v>
      </c>
      <c r="L499" t="s">
        <v>17</v>
      </c>
      <c r="M499" s="9">
        <v>464.62</v>
      </c>
      <c r="N499" s="4">
        <v>7</v>
      </c>
      <c r="O499" s="12">
        <v>0.1</v>
      </c>
      <c r="P499" s="9">
        <v>33.270000000000003</v>
      </c>
      <c r="Q499" s="10">
        <f>Table1[[#This Row],[Profit]]/Table1[[#This Row],[Sales]]</f>
        <v>7.1606904567173182E-2</v>
      </c>
      <c r="R499" t="str">
        <f>IF(Table1[[#This Row],[Profit Margin]]&gt;0,"profit","loss")</f>
        <v>profit</v>
      </c>
      <c r="S499" t="str">
        <f>IF(Table1[[#This Row],[Discount]]=0,"No Discount",IF(Table1[[#This Row],[Discount]]&lt;=0.2,"low",IF(Table1[[#This Row],[Discount]]&lt;=0.3,"medium","high")))</f>
        <v>low</v>
      </c>
      <c r="T499" s="15" t="str">
        <f>IF(Table1[[#This Row],[Days]]&lt;=2,"faster",IF(Table1[[#This Row],[Days]]&lt;=4,"Normal","slow"))</f>
        <v>slow</v>
      </c>
    </row>
    <row r="500" spans="1:20" x14ac:dyDescent="0.25">
      <c r="A500" s="4" t="s">
        <v>533</v>
      </c>
      <c r="B500" s="1">
        <v>45139</v>
      </c>
      <c r="C500" s="1">
        <v>45145</v>
      </c>
      <c r="D500" s="13">
        <f>Table1[[#This Row],[Shipped date]]-Table1[[#This Row],[Order Date]]</f>
        <v>6</v>
      </c>
      <c r="E500" t="s">
        <v>13</v>
      </c>
      <c r="F500" s="13" t="str">
        <f>TEXT(Table1[[#This Row],[Order Date]],"MMMM")</f>
        <v>August</v>
      </c>
      <c r="G500" s="13">
        <f t="shared" si="14"/>
        <v>2023</v>
      </c>
      <c r="H500" s="13" t="str">
        <f t="shared" si="15"/>
        <v>Q3</v>
      </c>
      <c r="I500" s="1" t="s">
        <v>14</v>
      </c>
      <c r="J500" s="7" t="s">
        <v>15</v>
      </c>
      <c r="K500" s="7" t="s">
        <v>29</v>
      </c>
      <c r="L500" t="s">
        <v>30</v>
      </c>
      <c r="M500" s="9">
        <v>633.70000000000005</v>
      </c>
      <c r="N500" s="4">
        <v>2</v>
      </c>
      <c r="O500" s="12">
        <v>0.3</v>
      </c>
      <c r="P500" s="9">
        <v>-126.15</v>
      </c>
      <c r="Q500" s="10">
        <f>Table1[[#This Row],[Profit]]/Table1[[#This Row],[Sales]]</f>
        <v>-0.19906896007574562</v>
      </c>
      <c r="R500" t="str">
        <f>IF(Table1[[#This Row],[Profit Margin]]&gt;0,"profit","loss")</f>
        <v>loss</v>
      </c>
      <c r="S500" t="str">
        <f>IF(Table1[[#This Row],[Discount]]=0,"No Discount",IF(Table1[[#This Row],[Discount]]&lt;=0.2,"low",IF(Table1[[#This Row],[Discount]]&lt;=0.3,"medium","high")))</f>
        <v>medium</v>
      </c>
      <c r="T500" s="15" t="str">
        <f>IF(Table1[[#This Row],[Days]]&lt;=2,"faster",IF(Table1[[#This Row],[Days]]&lt;=4,"Normal","slow"))</f>
        <v>slow</v>
      </c>
    </row>
    <row r="501" spans="1:20" x14ac:dyDescent="0.25">
      <c r="A501" s="4" t="s">
        <v>534</v>
      </c>
      <c r="B501" s="1">
        <v>45232</v>
      </c>
      <c r="C501" s="1">
        <v>45237</v>
      </c>
      <c r="D501" s="13">
        <f>Table1[[#This Row],[Shipped date]]-Table1[[#This Row],[Order Date]]</f>
        <v>5</v>
      </c>
      <c r="E501" t="s">
        <v>19</v>
      </c>
      <c r="F501" s="13" t="str">
        <f>TEXT(Table1[[#This Row],[Order Date]],"MMMM")</f>
        <v>November</v>
      </c>
      <c r="G501" s="13">
        <f t="shared" si="14"/>
        <v>2023</v>
      </c>
      <c r="H501" s="13" t="str">
        <f t="shared" si="15"/>
        <v>Q4</v>
      </c>
      <c r="I501" s="1" t="s">
        <v>20</v>
      </c>
      <c r="J501" s="7" t="s">
        <v>32</v>
      </c>
      <c r="K501" s="7" t="s">
        <v>22</v>
      </c>
      <c r="L501" t="s">
        <v>23</v>
      </c>
      <c r="M501" s="9">
        <v>913.6</v>
      </c>
      <c r="N501" s="4">
        <v>5</v>
      </c>
      <c r="O501" s="12">
        <v>0.1</v>
      </c>
      <c r="P501" s="9">
        <v>23.17</v>
      </c>
      <c r="Q501" s="10">
        <f>Table1[[#This Row],[Profit]]/Table1[[#This Row],[Sales]]</f>
        <v>2.5361208406304729E-2</v>
      </c>
      <c r="R501" t="str">
        <f>IF(Table1[[#This Row],[Profit Margin]]&gt;0,"profit","loss")</f>
        <v>profit</v>
      </c>
      <c r="S501" t="str">
        <f>IF(Table1[[#This Row],[Discount]]=0,"No Discount",IF(Table1[[#This Row],[Discount]]&lt;=0.2,"low",IF(Table1[[#This Row],[Discount]]&lt;=0.3,"medium","high")))</f>
        <v>low</v>
      </c>
      <c r="T501" s="15" t="str">
        <f>IF(Table1[[#This Row],[Days]]&lt;=2,"faster",IF(Table1[[#This Row],[Days]]&lt;=4,"Normal","slow"))</f>
        <v>slow</v>
      </c>
    </row>
    <row r="502" spans="1:20" hidden="1" x14ac:dyDescent="0.25">
      <c r="D502" s="13">
        <f>Table1[[#This Row],[Shipped date]]-Table1[[#This Row],[Order Date]]</f>
        <v>0</v>
      </c>
      <c r="E502" t="s">
        <v>13</v>
      </c>
      <c r="F502" s="13" t="str">
        <f>TEXT(Table1[[#This Row],[Order Date]],"MMMM")</f>
        <v>January</v>
      </c>
      <c r="G502" s="13"/>
      <c r="H502" s="13"/>
      <c r="I502" s="1"/>
      <c r="K502" s="7"/>
      <c r="M502" s="9"/>
      <c r="N502" s="4"/>
      <c r="O502" s="12"/>
      <c r="P502" s="9"/>
      <c r="Q502" t="e">
        <f>Table1[[#This Row],[Profit]]/Table1[[#This Row],[Sales]]</f>
        <v>#DIV/0!</v>
      </c>
      <c r="R502" t="e">
        <f>IF(Table1[[#This Row],[Profit Margin]]&gt;0,"profit","loss")</f>
        <v>#DIV/0!</v>
      </c>
      <c r="S502" t="str">
        <f>IF(Table1[[#This Row],[Discount]]=0,"No Discount",IF(Table1[[#This Row],[Discount]]&lt;=0.2,"low",IF(Table1[[#This Row],[Discount]]&lt;=0.3,"medium","high")))</f>
        <v>No Discount</v>
      </c>
      <c r="T502" s="15" t="str">
        <f>IF(Table1[[#This Row],[Days]]&lt;=2,"faster",IF(Table1[[#This Row],[Days]]&lt;=4,"Normal","slow"))</f>
        <v>faster</v>
      </c>
    </row>
  </sheetData>
  <phoneticPr fontId="18" type="noConversion"/>
  <conditionalFormatting sqref="A1:A1048576">
    <cfRule type="duplicateValues" dxfId="42" priority="5"/>
  </conditionalFormatting>
  <conditionalFormatting sqref="A1:XFD5 A23:XFD1048576 A6:XFA22">
    <cfRule type="containsText" dxfId="41" priority="4" operator="containsText" text="blank">
      <formula>NOT(ISERROR(SEARCH("blank",A1)))</formula>
    </cfRule>
  </conditionalFormatting>
  <conditionalFormatting sqref="R1:R1048576">
    <cfRule type="iconSet" priority="3">
      <iconSet iconSet="3Arrows">
        <cfvo type="percent" val="0"/>
        <cfvo type="percent" val="33"/>
        <cfvo type="percent" val="67"/>
      </iconSet>
    </cfRule>
  </conditionalFormatting>
  <conditionalFormatting sqref="R2:R501">
    <cfRule type="containsText" dxfId="40" priority="1" operator="containsText" text="loss">
      <formula>NOT(ISERROR(SEARCH("loss",R2)))</formula>
    </cfRule>
    <cfRule type="containsText" dxfId="39" priority="2" operator="containsText" text="profit">
      <formula>NOT(ISERROR(SEARCH("profit",R2)))</formula>
    </cfRule>
  </conditionalFormatting>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O31"/>
  <sheetViews>
    <sheetView topLeftCell="A7" workbookViewId="0">
      <selection activeCell="N7" sqref="N7"/>
    </sheetView>
  </sheetViews>
  <sheetFormatPr defaultRowHeight="15" x14ac:dyDescent="0.25"/>
  <cols>
    <col min="1" max="1" width="13.140625" bestFit="1" customWidth="1"/>
    <col min="2" max="2" width="12.140625" bestFit="1" customWidth="1"/>
    <col min="3" max="3" width="15.42578125" customWidth="1"/>
    <col min="4" max="4" width="17" bestFit="1" customWidth="1"/>
    <col min="5" max="5" width="13.140625" bestFit="1" customWidth="1"/>
    <col min="6" max="6" width="12.5703125" bestFit="1" customWidth="1"/>
    <col min="7" max="7" width="12.5703125" customWidth="1"/>
    <col min="8" max="8" width="15.28515625" bestFit="1" customWidth="1"/>
    <col min="9" max="9" width="13.140625" bestFit="1" customWidth="1"/>
    <col min="10" max="10" width="19" bestFit="1" customWidth="1"/>
    <col min="11" max="11" width="12.5703125" customWidth="1"/>
    <col min="13" max="13" width="13.140625" customWidth="1"/>
    <col min="14" max="14" width="16.28515625" customWidth="1"/>
    <col min="15" max="16" width="11.28515625" bestFit="1" customWidth="1"/>
    <col min="17" max="17" width="11.28515625" customWidth="1"/>
  </cols>
  <sheetData>
    <row r="2" spans="1:15" x14ac:dyDescent="0.25">
      <c r="A2" t="s">
        <v>563</v>
      </c>
      <c r="E2" t="s">
        <v>564</v>
      </c>
      <c r="I2" t="s">
        <v>565</v>
      </c>
      <c r="M2" t="s">
        <v>566</v>
      </c>
    </row>
    <row r="3" spans="1:15" x14ac:dyDescent="0.25">
      <c r="A3" s="16" t="s">
        <v>541</v>
      </c>
      <c r="B3" t="s">
        <v>538</v>
      </c>
      <c r="E3" s="16" t="s">
        <v>541</v>
      </c>
      <c r="F3" t="s">
        <v>538</v>
      </c>
      <c r="I3" s="16" t="s">
        <v>541</v>
      </c>
      <c r="J3" t="s">
        <v>554</v>
      </c>
      <c r="M3" s="16" t="s">
        <v>554</v>
      </c>
      <c r="N3" s="16" t="s">
        <v>539</v>
      </c>
    </row>
    <row r="4" spans="1:15" x14ac:dyDescent="0.25">
      <c r="A4" s="17" t="s">
        <v>29</v>
      </c>
      <c r="B4" s="9">
        <v>30924.560000000001</v>
      </c>
      <c r="E4" s="17" t="s">
        <v>43</v>
      </c>
      <c r="F4" s="9">
        <v>13341.879999999997</v>
      </c>
      <c r="I4" s="17" t="s">
        <v>45</v>
      </c>
      <c r="J4" s="9">
        <v>-643.78</v>
      </c>
      <c r="M4" s="16" t="s">
        <v>541</v>
      </c>
      <c r="N4">
        <v>2023</v>
      </c>
      <c r="O4" t="s">
        <v>540</v>
      </c>
    </row>
    <row r="5" spans="1:15" x14ac:dyDescent="0.25">
      <c r="A5" s="17" t="s">
        <v>540</v>
      </c>
      <c r="B5" s="9">
        <v>30924.560000000001</v>
      </c>
      <c r="E5" s="17" t="s">
        <v>45</v>
      </c>
      <c r="F5" s="9">
        <v>10199.219999999998</v>
      </c>
      <c r="I5" s="17" t="s">
        <v>43</v>
      </c>
      <c r="J5" s="9">
        <v>-290.38</v>
      </c>
      <c r="M5" s="17" t="s">
        <v>550</v>
      </c>
      <c r="N5" s="9">
        <v>-258.12</v>
      </c>
      <c r="O5" s="9">
        <v>-258.12</v>
      </c>
    </row>
    <row r="6" spans="1:15" x14ac:dyDescent="0.25">
      <c r="E6" s="17" t="s">
        <v>30</v>
      </c>
      <c r="F6" s="9">
        <v>7383.4600000000009</v>
      </c>
      <c r="I6" s="17" t="s">
        <v>30</v>
      </c>
      <c r="J6" s="9">
        <v>122.79999999999997</v>
      </c>
      <c r="M6" s="17" t="s">
        <v>543</v>
      </c>
      <c r="N6" s="9">
        <v>-109.19</v>
      </c>
      <c r="O6" s="9">
        <v>-109.19</v>
      </c>
    </row>
    <row r="7" spans="1:15" x14ac:dyDescent="0.25">
      <c r="E7" s="17" t="s">
        <v>540</v>
      </c>
      <c r="F7" s="9">
        <v>30924.559999999994</v>
      </c>
      <c r="I7" s="17" t="s">
        <v>540</v>
      </c>
      <c r="J7" s="9">
        <v>-811.36</v>
      </c>
      <c r="M7" s="17" t="s">
        <v>545</v>
      </c>
      <c r="N7" s="9">
        <v>-16.179999999999996</v>
      </c>
      <c r="O7" s="9">
        <v>-16.179999999999996</v>
      </c>
    </row>
    <row r="8" spans="1:15" x14ac:dyDescent="0.25">
      <c r="M8" s="17" t="s">
        <v>553</v>
      </c>
      <c r="N8" s="9">
        <v>40.5</v>
      </c>
      <c r="O8" s="9">
        <v>40.5</v>
      </c>
    </row>
    <row r="9" spans="1:15" x14ac:dyDescent="0.25">
      <c r="M9" s="17" t="s">
        <v>542</v>
      </c>
      <c r="N9" s="9">
        <v>9.1700000000000017</v>
      </c>
      <c r="O9" s="9">
        <v>9.1700000000000017</v>
      </c>
    </row>
    <row r="10" spans="1:15" x14ac:dyDescent="0.25">
      <c r="E10" s="23" t="s">
        <v>568</v>
      </c>
      <c r="I10" s="23" t="s">
        <v>573</v>
      </c>
      <c r="M10" s="17" t="s">
        <v>546</v>
      </c>
      <c r="N10" s="9">
        <v>-170.18</v>
      </c>
      <c r="O10" s="9">
        <v>-170.18</v>
      </c>
    </row>
    <row r="11" spans="1:15" x14ac:dyDescent="0.25">
      <c r="A11" s="17" t="s">
        <v>570</v>
      </c>
      <c r="E11" s="16" t="s">
        <v>541</v>
      </c>
      <c r="F11" t="s">
        <v>554</v>
      </c>
      <c r="I11" s="16" t="s">
        <v>541</v>
      </c>
      <c r="J11" t="s">
        <v>572</v>
      </c>
      <c r="M11" s="17" t="s">
        <v>547</v>
      </c>
      <c r="N11" s="9">
        <v>-49.169999999999995</v>
      </c>
      <c r="O11" s="9">
        <v>-49.169999999999995</v>
      </c>
    </row>
    <row r="12" spans="1:15" x14ac:dyDescent="0.25">
      <c r="A12" s="16" t="s">
        <v>541</v>
      </c>
      <c r="B12" t="s">
        <v>554</v>
      </c>
      <c r="E12" s="17" t="s">
        <v>32</v>
      </c>
      <c r="F12" s="9">
        <v>-5.9900000000000091</v>
      </c>
      <c r="I12" s="17" t="s">
        <v>29</v>
      </c>
      <c r="J12" s="10">
        <v>0.14655172413793099</v>
      </c>
      <c r="M12" s="17" t="s">
        <v>552</v>
      </c>
      <c r="N12" s="9">
        <v>-199.38</v>
      </c>
      <c r="O12" s="9">
        <v>-199.38</v>
      </c>
    </row>
    <row r="13" spans="1:15" x14ac:dyDescent="0.25">
      <c r="A13" s="17" t="s">
        <v>29</v>
      </c>
      <c r="B13" s="9">
        <v>-811.36000000000013</v>
      </c>
      <c r="C13" t="s">
        <v>557</v>
      </c>
      <c r="E13" s="17" t="s">
        <v>26</v>
      </c>
      <c r="F13" s="9">
        <v>-328.50999999999993</v>
      </c>
      <c r="I13" s="17" t="s">
        <v>540</v>
      </c>
      <c r="J13" s="10">
        <v>0.14655172413793099</v>
      </c>
      <c r="M13" s="17" t="s">
        <v>549</v>
      </c>
      <c r="N13" s="9">
        <v>-124.83</v>
      </c>
      <c r="O13" s="9">
        <v>-124.83</v>
      </c>
    </row>
    <row r="14" spans="1:15" x14ac:dyDescent="0.25">
      <c r="A14" s="17" t="s">
        <v>540</v>
      </c>
      <c r="B14" s="9">
        <v>-811.36000000000013</v>
      </c>
      <c r="E14" s="17" t="s">
        <v>15</v>
      </c>
      <c r="F14" s="9">
        <v>-459.55999999999995</v>
      </c>
      <c r="M14" s="17" t="s">
        <v>544</v>
      </c>
      <c r="N14" s="9">
        <v>109.64999999999999</v>
      </c>
      <c r="O14" s="9">
        <v>109.64999999999999</v>
      </c>
    </row>
    <row r="15" spans="1:15" x14ac:dyDescent="0.25">
      <c r="E15" s="17" t="s">
        <v>21</v>
      </c>
      <c r="F15" s="9">
        <v>-17.29999999999999</v>
      </c>
      <c r="M15" s="17" t="s">
        <v>548</v>
      </c>
      <c r="N15" s="9">
        <v>-16.220000000000002</v>
      </c>
      <c r="O15" s="9">
        <v>-16.220000000000002</v>
      </c>
    </row>
    <row r="16" spans="1:15" x14ac:dyDescent="0.25">
      <c r="E16" s="17" t="s">
        <v>540</v>
      </c>
      <c r="F16" s="9">
        <v>-811.3599999999999</v>
      </c>
      <c r="M16" s="17" t="s">
        <v>551</v>
      </c>
      <c r="N16" s="9">
        <v>-27.41</v>
      </c>
      <c r="O16" s="9">
        <v>-27.41</v>
      </c>
    </row>
    <row r="17" spans="1:15" x14ac:dyDescent="0.25">
      <c r="M17" s="17" t="s">
        <v>540</v>
      </c>
      <c r="N17" s="9">
        <v>-811.36</v>
      </c>
      <c r="O17" s="9">
        <v>-811.36</v>
      </c>
    </row>
    <row r="19" spans="1:15" x14ac:dyDescent="0.25">
      <c r="A19" s="23" t="s">
        <v>567</v>
      </c>
    </row>
    <row r="20" spans="1:15" x14ac:dyDescent="0.25">
      <c r="A20" s="16" t="s">
        <v>541</v>
      </c>
      <c r="B20" t="s">
        <v>538</v>
      </c>
    </row>
    <row r="21" spans="1:15" x14ac:dyDescent="0.25">
      <c r="A21" s="17" t="s">
        <v>32</v>
      </c>
      <c r="B21" s="9">
        <v>3920.6100000000006</v>
      </c>
    </row>
    <row r="22" spans="1:15" x14ac:dyDescent="0.25">
      <c r="A22" s="17" t="s">
        <v>26</v>
      </c>
      <c r="B22" s="9">
        <v>9983.7199999999993</v>
      </c>
    </row>
    <row r="23" spans="1:15" x14ac:dyDescent="0.25">
      <c r="A23" s="17" t="s">
        <v>15</v>
      </c>
      <c r="B23" s="9">
        <v>10730.8</v>
      </c>
    </row>
    <row r="24" spans="1:15" x14ac:dyDescent="0.25">
      <c r="A24" s="17" t="s">
        <v>21</v>
      </c>
      <c r="B24" s="9">
        <v>6289.43</v>
      </c>
    </row>
    <row r="25" spans="1:15" x14ac:dyDescent="0.25">
      <c r="A25" s="17" t="s">
        <v>540</v>
      </c>
      <c r="B25" s="9">
        <v>30924.559999999998</v>
      </c>
    </row>
    <row r="29" spans="1:15" x14ac:dyDescent="0.25">
      <c r="D29" s="23" t="s">
        <v>574</v>
      </c>
      <c r="E29" s="17"/>
      <c r="F29" s="23" t="s">
        <v>580</v>
      </c>
      <c r="H29" s="23" t="s">
        <v>571</v>
      </c>
    </row>
    <row r="30" spans="1:15" x14ac:dyDescent="0.25">
      <c r="D30" t="s">
        <v>575</v>
      </c>
      <c r="F30" t="s">
        <v>554</v>
      </c>
      <c r="H30" t="s">
        <v>562</v>
      </c>
    </row>
    <row r="31" spans="1:15" x14ac:dyDescent="0.25">
      <c r="D31" s="13">
        <v>58</v>
      </c>
      <c r="F31" s="9">
        <v>-811.36000000000013</v>
      </c>
      <c r="H31" s="4">
        <v>4.3103448275862073</v>
      </c>
    </row>
  </sheetData>
  <pageMargins left="0.7" right="0.7" top="0.75" bottom="0.75" header="0.3" footer="0.3"/>
  <pageSetup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zoomScale="70" zoomScaleNormal="70" workbookViewId="0">
      <selection activeCell="B3" sqref="B3"/>
    </sheetView>
  </sheetViews>
  <sheetFormatPr defaultRowHeight="18.75" x14ac:dyDescent="0.3"/>
  <cols>
    <col min="1" max="1" width="40.140625" style="18" customWidth="1"/>
    <col min="2" max="2" width="30.85546875" customWidth="1"/>
    <col min="3" max="3" width="9" customWidth="1"/>
    <col min="4" max="4" width="13.140625" customWidth="1"/>
    <col min="5" max="5" width="12.140625" customWidth="1"/>
    <col min="6" max="6" width="12.5703125" customWidth="1"/>
    <col min="7" max="8" width="12.140625" customWidth="1"/>
    <col min="9" max="9" width="11.7109375" bestFit="1" customWidth="1"/>
    <col min="10" max="10" width="13.140625" bestFit="1" customWidth="1"/>
    <col min="11" max="12" width="12.5703125" bestFit="1" customWidth="1"/>
  </cols>
  <sheetData>
    <row r="1" spans="1:7" ht="23.25" x14ac:dyDescent="0.35">
      <c r="A1" s="19"/>
      <c r="B1" s="20"/>
    </row>
    <row r="2" spans="1:7" ht="23.25" x14ac:dyDescent="0.35">
      <c r="A2" s="19"/>
      <c r="B2" s="20"/>
    </row>
    <row r="3" spans="1:7" ht="23.25" x14ac:dyDescent="0.35">
      <c r="A3" s="19" t="s">
        <v>558</v>
      </c>
      <c r="B3" s="21">
        <f>GETPIVOTDATA("Sales",'PIVOT TABLE'!$E$3)</f>
        <v>30924.559999999994</v>
      </c>
    </row>
    <row r="4" spans="1:7" ht="23.25" x14ac:dyDescent="0.35">
      <c r="A4" s="19" t="s">
        <v>559</v>
      </c>
      <c r="B4" s="21">
        <f>GETPIVOTDATA("Profit",'PIVOT TABLE'!$F$30)</f>
        <v>-811.36000000000013</v>
      </c>
    </row>
    <row r="5" spans="1:7" ht="23.25" x14ac:dyDescent="0.35">
      <c r="A5" s="19" t="s">
        <v>560</v>
      </c>
      <c r="B5" s="26">
        <f>GETPIVOTDATA(" Order ID",'PIVOT TABLE'!$D$30)</f>
        <v>58</v>
      </c>
    </row>
    <row r="6" spans="1:7" ht="23.25" x14ac:dyDescent="0.35">
      <c r="A6" s="19" t="s">
        <v>561</v>
      </c>
      <c r="B6" s="22">
        <f>GETPIVOTDATA("Discount",'PIVOT TABLE'!$I$11)</f>
        <v>0.14655172413793099</v>
      </c>
    </row>
    <row r="7" spans="1:7" ht="26.25" x14ac:dyDescent="0.4">
      <c r="A7" s="24" t="s">
        <v>569</v>
      </c>
      <c r="B7" s="25">
        <f>GETPIVOTDATA("Days",'PIVOT TABLE'!$H$30)</f>
        <v>4.3103448275862073</v>
      </c>
    </row>
    <row r="13" spans="1:7" x14ac:dyDescent="0.3">
      <c r="G13" t="s">
        <v>557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showGridLines="0" tabSelected="1" zoomScale="70" zoomScaleNormal="70" workbookViewId="0">
      <selection activeCell="N7" sqref="N7"/>
    </sheetView>
  </sheetViews>
  <sheetFormatPr defaultRowHeight="15" x14ac:dyDescent="0.25"/>
  <cols>
    <col min="1" max="1" width="25.5703125" style="30" customWidth="1"/>
    <col min="2" max="16384" width="9.140625" style="30"/>
  </cols>
  <sheetData>
    <row r="1" spans="1:6" ht="27" x14ac:dyDescent="0.35">
      <c r="A1" s="27"/>
      <c r="B1" s="28"/>
      <c r="C1" s="28"/>
      <c r="D1" s="28"/>
      <c r="E1" s="29"/>
      <c r="F1" s="29"/>
    </row>
    <row r="2" spans="1:6" ht="27" x14ac:dyDescent="0.35">
      <c r="A2" s="27"/>
      <c r="B2" s="28"/>
      <c r="C2" s="28"/>
      <c r="D2" s="28"/>
      <c r="E2" s="29"/>
      <c r="F2" s="2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superstore_sales_dataset1</vt:lpstr>
      <vt:lpstr>cleaned dataset</vt:lpstr>
      <vt:lpstr>PIVOT TABLE</vt:lpstr>
      <vt:lpstr>KPIs Calculation</vt:lpstr>
      <vt:lpstr>superstore_sales_DASHBOARD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Dofrin</dc:creator>
  <cp:lastModifiedBy>Dofrin</cp:lastModifiedBy>
  <dcterms:created xsi:type="dcterms:W3CDTF">2026-07-06T14:12:17Z</dcterms:created>
  <dcterms:modified xsi:type="dcterms:W3CDTF">2026-07-14T06:45:37Z</dcterms:modified>
</cp:coreProperties>
</file>